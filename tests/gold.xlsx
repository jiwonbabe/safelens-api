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테스트 세트" sheetId="1" state="visible" r:id="rId3"/>
    <sheet name="칸별 집계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<sst xmlns="http://schemas.openxmlformats.org/spreadsheetml/2006/main" count="432" uniqueCount="249">
  <si>
    <t xml:space="preserve">#</t>
  </si>
  <si>
    <t xml:space="preserve">칸</t>
  </si>
  <si>
    <t xml:space="preserve">연령</t>
  </si>
  <si>
    <t xml:space="preserve">URL</t>
  </si>
  <si>
    <t xml:space="preserve">제목</t>
  </si>
  <si>
    <t xml:space="preserve">채널</t>
  </si>
  <si>
    <r>
      <rPr>
        <b val="true"/>
        <sz val="11"/>
        <color rgb="FFFFFFFF"/>
        <rFont val="Noto Sans CJK SC"/>
        <family val="2"/>
      </rPr>
      <t xml:space="preserve">가라벨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이유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검색 기준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</si>
  <si>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상태</t>
  </si>
  <si>
    <t xml:space="preserve">정답지 추천</t>
  </si>
  <si>
    <r>
      <rPr>
        <b val="true"/>
        <sz val="11"/>
        <color rgb="FFFFFFFF"/>
        <rFont val="Noto Sans CJK SC"/>
        <family val="2"/>
      </rPr>
      <t xml:space="preserve">확정 라벨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내가 찍음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</si>
  <si>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확정 판정</t>
  </si>
  <si>
    <r>
      <rPr>
        <b val="true"/>
        <sz val="11"/>
        <color rgb="FFFFFFFF"/>
        <rFont val="Noto Sans CJK SC"/>
        <family val="2"/>
      </rPr>
      <t xml:space="preserve">밝힘 문구 있음</t>
    </r>
    <r>
      <rPr>
        <b val="true"/>
        <sz val="11"/>
        <color rgb="FFFFFFFF"/>
        <rFont val="Arial"/>
        <family val="0"/>
        <charset val="1"/>
      </rPr>
      <t xml:space="preserve">?</t>
    </r>
  </si>
  <si>
    <t xml:space="preserve">비고</t>
  </si>
  <si>
    <r>
      <rPr>
        <sz val="10"/>
        <rFont val="Noto Sans CJK SC"/>
        <family val="2"/>
      </rPr>
      <t xml:space="preserve">틴 봐도 됨 </t>
    </r>
    <r>
      <rPr>
        <sz val="10"/>
        <rFont val="Arial"/>
        <family val="0"/>
        <charset val="1"/>
      </rPr>
      <t xml:space="preserve">(Lens)</t>
    </r>
  </si>
  <si>
    <t xml:space="preserve">틴</t>
  </si>
  <si>
    <t xml:space="preserve">https://www.youtube.com/watch?v=_OxuxhHF1WI</t>
  </si>
  <si>
    <t xml:space="preserve">Last Chance to Win This $30,000 Tesla Model X, Giveaway Ends Tonight</t>
  </si>
  <si>
    <t xml:space="preserve">Auto Auction Rebuilds</t>
  </si>
  <si>
    <t xml:space="preserve">URG, RICH</t>
  </si>
  <si>
    <r>
      <rPr>
        <sz val="10"/>
        <rFont val="Noto Sans CJK SC"/>
        <family val="2"/>
      </rPr>
      <t xml:space="preserve">확인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데모 </t>
    </r>
    <r>
      <rPr>
        <sz val="10"/>
        <rFont val="Arial"/>
        <family val="0"/>
        <charset val="1"/>
      </rPr>
      <t xml:space="preserve">1</t>
    </r>
  </si>
  <si>
    <t xml:space="preserve">정답지</t>
  </si>
  <si>
    <t xml:space="preserve">https://www.youtube.com/watch?v=H4RZKSOCQpE</t>
  </si>
  <si>
    <t xml:space="preserve">Supercharged Camaro Giveaway ENDS TONIGHT</t>
  </si>
  <si>
    <t xml:space="preserve">RestoMods</t>
  </si>
  <si>
    <t xml:space="preserve">확인</t>
  </si>
  <si>
    <t xml:space="preserve">https://www.youtube.com/watch?v=YjIA7HJXFg0</t>
  </si>
  <si>
    <t xml:space="preserve">My 14-Day Detox Results w/ Skinny Teatox</t>
  </si>
  <si>
    <t xml:space="preserve">TheBrilliantBeauty</t>
  </si>
  <si>
    <r>
      <rPr>
        <sz val="10"/>
        <rFont val="Arial"/>
        <family val="0"/>
        <charset val="1"/>
      </rPr>
      <t xml:space="preserve">BODY, AD</t>
    </r>
    <r>
      <rPr>
        <sz val="10"/>
        <rFont val="Noto Sans CJK SC"/>
        <family val="2"/>
      </rPr>
      <t xml:space="preserve">는 밝힘 문구 확인 후</t>
    </r>
  </si>
  <si>
    <r>
      <rPr>
        <sz val="10"/>
        <rFont val="Noto Sans CJK SC"/>
        <family val="2"/>
      </rPr>
      <t xml:space="preserve">확인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데모 </t>
    </r>
    <r>
      <rPr>
        <sz val="10"/>
        <rFont val="Arial"/>
        <family val="0"/>
        <charset val="1"/>
      </rPr>
      <t xml:space="preserve">2</t>
    </r>
  </si>
  <si>
    <t xml:space="preserve">https://www.youtube.com/watch?v=HgjRJAh9kME</t>
  </si>
  <si>
    <t xml:space="preserve">Kourtney Kardashian Flat Tummy Tea Review</t>
  </si>
  <si>
    <t xml:space="preserve">Jessica Carroll</t>
  </si>
  <si>
    <r>
      <rPr>
        <sz val="10"/>
        <rFont val="Arial"/>
        <family val="0"/>
        <charset val="1"/>
      </rPr>
      <t xml:space="preserve">BODY, AD (</t>
    </r>
    <r>
      <rPr>
        <sz val="10"/>
        <rFont val="Noto Sans CJK SC"/>
        <family val="2"/>
      </rPr>
      <t xml:space="preserve">밝힘 없음 메모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확인 필요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</si>
  <si>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확인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데모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후보</t>
    </r>
  </si>
  <si>
    <t xml:space="preserve">https://www.youtube.com/watch?v=TVYv8TQjUiU</t>
  </si>
  <si>
    <t xml:space="preserve">HONEST REVIEW 28 DAYS DETOX FLAT TUMMY TEA BEFORE AND AFTER</t>
  </si>
  <si>
    <t xml:space="preserve">Charmbody254</t>
  </si>
  <si>
    <t xml:space="preserve">BODY, AD, PROOF</t>
  </si>
  <si>
    <t xml:space="preserve">https://www.youtube.com/watch?v=tm9Xfv6wpN4</t>
  </si>
  <si>
    <t xml:space="preserve">I TRIED APPLE CIDER VINEGAR FOR 1 WEEK, I'M SHOOK</t>
  </si>
  <si>
    <t xml:space="preserve">The Daily Student</t>
  </si>
  <si>
    <t xml:space="preserve">BODY, CLICK</t>
  </si>
  <si>
    <t xml:space="preserve">https://www.youtube.com/watch?v=NT3I2bhm1Ek</t>
  </si>
  <si>
    <t xml:space="preserve">I tried Korean skincare for 6 months, the results are shocking!</t>
  </si>
  <si>
    <t xml:space="preserve">BILLIE BLONDE</t>
  </si>
  <si>
    <t xml:space="preserve">BODY, AD, CLICK</t>
  </si>
  <si>
    <t xml:space="preserve">https://www.youtube.com/watch?v=Blzl_nifKYg</t>
  </si>
  <si>
    <t xml:space="preserve">I bought EVERY VIRAL Tik Tok makeup product so you don't have to!</t>
  </si>
  <si>
    <t xml:space="preserve">Manny Mua</t>
  </si>
  <si>
    <t xml:space="preserve">PROOF, AD</t>
  </si>
  <si>
    <t xml:space="preserve">https://www.youtube.com/watch?v=N8EYO-GIdTs</t>
  </si>
  <si>
    <t xml:space="preserve">Week in My Life as A Humble 22 y/o Multi Millionaire</t>
  </si>
  <si>
    <t xml:space="preserve">DESIRICHKID</t>
  </si>
  <si>
    <r>
      <rPr>
        <sz val="10"/>
        <rFont val="Arial"/>
        <family val="0"/>
        <charset val="1"/>
      </rPr>
      <t xml:space="preserve">COMPARE, </t>
    </r>
    <r>
      <rPr>
        <sz val="10"/>
        <rFont val="Noto Sans CJK SC"/>
        <family val="2"/>
      </rPr>
      <t xml:space="preserve">설명란에 코칭 판매</t>
    </r>
  </si>
  <si>
    <t xml:space="preserve">https://www.youtube.com/watch?v=h5BROsH6LYE</t>
  </si>
  <si>
    <t xml:space="preserve">How I've made $10K a month online since I was 15</t>
  </si>
  <si>
    <t xml:space="preserve">Taylor Rankine</t>
  </si>
  <si>
    <t xml:space="preserve">RICH, COMPARE</t>
  </si>
  <si>
    <r>
      <rPr>
        <sz val="10"/>
        <rFont val="Noto Sans CJK SC"/>
        <family val="2"/>
      </rPr>
      <t xml:space="preserve">틴 주의 </t>
    </r>
    <r>
      <rPr>
        <sz val="10"/>
        <rFont val="Arial"/>
        <family val="0"/>
        <charset val="1"/>
      </rPr>
      <t xml:space="preserve">(Lens + </t>
    </r>
    <r>
      <rPr>
        <sz val="10"/>
        <rFont val="Noto Sans CJK SC"/>
        <family val="2"/>
      </rPr>
      <t xml:space="preserve">부모 표시</t>
    </r>
    <r>
      <rPr>
        <sz val="10"/>
        <rFont val="Arial"/>
        <family val="0"/>
        <charset val="1"/>
      </rPr>
      <t xml:space="preserve">)</t>
    </r>
  </si>
  <si>
    <t xml:space="preserve">https://www.youtube.com/watch?v=3kdnLb-fdrY</t>
  </si>
  <si>
    <t xml:space="preserve">How I lost 20 pounds in 2 weeks on a low budget</t>
  </si>
  <si>
    <t xml:space="preserve">Nkemamaka Ike</t>
  </si>
  <si>
    <r>
      <rPr>
        <sz val="10"/>
        <rFont val="Noto Sans CJK SC"/>
        <family val="2"/>
      </rPr>
      <t xml:space="preserve">강한 체중 수치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기간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밝힘 없음</t>
    </r>
  </si>
  <si>
    <t xml:space="preserve">https://www.youtube.com/watch?v=2VTb1eVw7Cg</t>
  </si>
  <si>
    <t xml:space="preserve">I tried the 20lbs in 2 weeks DANCE WORKOUT and it WORKED!</t>
  </si>
  <si>
    <t xml:space="preserve">Jazz Rose</t>
  </si>
  <si>
    <r>
      <rPr>
        <sz val="10"/>
        <rFont val="Noto Sans CJK SC"/>
        <family val="2"/>
      </rPr>
      <t xml:space="preserve">강한 체중 주장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설명란이 링크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할인코드</t>
    </r>
  </si>
  <si>
    <t xml:space="preserve">https://www.youtube.com/watch?v=VGWnU-Lqrxc</t>
  </si>
  <si>
    <t xml:space="preserve">WHAT I EAT IN A DAY, Secrets to staying slim!</t>
  </si>
  <si>
    <t xml:space="preserve">Laura Blair</t>
  </si>
  <si>
    <t xml:space="preserve">식단 제한을 동경하게 하는 프레임</t>
  </si>
  <si>
    <t xml:space="preserve">틴 차단</t>
  </si>
  <si>
    <t xml:space="preserve">https://www.youtube.com/watch?v=RkSXs2WToDY</t>
  </si>
  <si>
    <t xml:space="preserve">The BIGGEST Operation Case Opening ($10,000)</t>
  </si>
  <si>
    <t xml:space="preserve">DrewUnboxing</t>
  </si>
  <si>
    <r>
      <rPr>
        <sz val="10"/>
        <rFont val="Noto Sans CJK SC"/>
        <family val="2"/>
      </rPr>
      <t xml:space="preserve">도박형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실제 돈 룻박스</t>
    </r>
  </si>
  <si>
    <r>
      <rPr>
        <sz val="10"/>
        <rFont val="Noto Sans CJK SC"/>
        <family val="2"/>
      </rPr>
      <t xml:space="preserve">확인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데모 후보</t>
    </r>
  </si>
  <si>
    <t xml:space="preserve">https://www.youtube.com/watch?v=sxUFgzwgWhc</t>
  </si>
  <si>
    <t xml:space="preserve">BEST CS2 GAMBLING SITES OF 2025, Get Free CSGO Skins, Promo Code</t>
  </si>
  <si>
    <t xml:space="preserve">veyzix</t>
  </si>
  <si>
    <r>
      <rPr>
        <sz val="10"/>
        <rFont val="Noto Sans CJK SC"/>
        <family val="2"/>
      </rPr>
      <t xml:space="preserve">도박형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스킨 도박 사이트 추천코드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페이지 </t>
    </r>
    <r>
      <rPr>
        <sz val="10"/>
        <rFont val="Arial"/>
        <family val="0"/>
        <charset val="1"/>
      </rPr>
      <t xml:space="preserve">18+</t>
    </r>
  </si>
  <si>
    <t xml:space="preserve">https://www.youtube.com/watch?v=sePMRp_CF68</t>
  </si>
  <si>
    <t xml:space="preserve">8 MINUTES OF STREET FIGHTS &amp; HOOD FIGHTS 2025</t>
  </si>
  <si>
    <t xml:space="preserve">MOTO FURY 2</t>
  </si>
  <si>
    <t xml:space="preserve">폭력 미화</t>
  </si>
  <si>
    <t xml:space="preserve">https://www.youtube.com/watch?v=9ivV1sbd9cs</t>
  </si>
  <si>
    <t xml:space="preserve">HOOD FIGHTS 2024 &amp; STREET FIGHTS, SCHOOL FIGHTS, ROAD RAGE</t>
  </si>
  <si>
    <r>
      <rPr>
        <sz val="10"/>
        <rFont val="Noto Sans CJK SC"/>
        <family val="2"/>
      </rPr>
      <t xml:space="preserve">폭력 미화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제목에 </t>
    </r>
    <r>
      <rPr>
        <sz val="10"/>
        <rFont val="Arial"/>
        <family val="0"/>
        <charset val="1"/>
      </rPr>
      <t xml:space="preserve">school fights</t>
    </r>
  </si>
  <si>
    <t xml:space="preserve">https://www.youtube.com/watch?v=9ZcmzB9ToZo</t>
  </si>
  <si>
    <t xml:space="preserve">Vape Trick Tutorial, How to: Jellyfish</t>
  </si>
  <si>
    <t xml:space="preserve">vAustinL</t>
  </si>
  <si>
    <r>
      <rPr>
        <sz val="10"/>
        <rFont val="Noto Sans CJK SC"/>
        <family val="2"/>
      </rPr>
      <t xml:space="preserve">약물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흡연 미화</t>
    </r>
  </si>
  <si>
    <t xml:space="preserve">https://www.youtube.com/watch?v=IXR7ZAXA5oU</t>
  </si>
  <si>
    <t xml:space="preserve">My First Time Getting Drunk..</t>
  </si>
  <si>
    <t xml:space="preserve">GeologyshiXtra</t>
  </si>
  <si>
    <t xml:space="preserve">음주 미화</t>
  </si>
  <si>
    <t xml:space="preserve">https://www.youtube.com/watch?v=CP1bEZXk34I</t>
  </si>
  <si>
    <t xml:space="preserve">I Tried SARMS at 16 and Here's What Happened</t>
  </si>
  <si>
    <t xml:space="preserve">Anthony Mantello</t>
  </si>
  <si>
    <r>
      <rPr>
        <sz val="10"/>
        <rFont val="Noto Sans CJK SC"/>
        <family val="2"/>
      </rPr>
      <t xml:space="preserve">미승인 약물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보조제 할인코드</t>
    </r>
  </si>
  <si>
    <t xml:space="preserve">https://www.youtube.com/watch?v=I3xzzAN1-z4</t>
  </si>
  <si>
    <t xml:space="preserve">AKC F-16 OTF Automatic Knife Review, A fun cheapish switchblade</t>
  </si>
  <si>
    <t xml:space="preserve">Advanced Knife Bro</t>
  </si>
  <si>
    <r>
      <rPr>
        <sz val="10"/>
        <rFont val="Noto Sans CJK SC"/>
        <family val="2"/>
      </rPr>
      <t xml:space="preserve">무기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구매 링크</t>
    </r>
  </si>
  <si>
    <t xml:space="preserve">https://www.youtube.com/watch?v=MIrjg_jPD88</t>
  </si>
  <si>
    <t xml:space="preserve">Master KARAMBIT Flipping in Minutes! Great for Beginners</t>
  </si>
  <si>
    <t xml:space="preserve">Kali Center</t>
  </si>
  <si>
    <r>
      <rPr>
        <sz val="10"/>
        <rFont val="Noto Sans CJK SC"/>
        <family val="2"/>
      </rPr>
      <t xml:space="preserve">무기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스토어 링크</t>
    </r>
  </si>
  <si>
    <t xml:space="preserve">https://www.youtube.com/watch?v=tL49cpCfW00</t>
  </si>
  <si>
    <t xml:space="preserve">Best FREE Telegram Trading Signal Group, HIGH Profits 2026</t>
  </si>
  <si>
    <t xml:space="preserve">CryptoNinjas</t>
  </si>
  <si>
    <r>
      <rPr>
        <sz val="10"/>
        <rFont val="Noto Sans CJK SC"/>
        <family val="2"/>
      </rPr>
      <t xml:space="preserve">사적 연락 유도</t>
    </r>
    <r>
      <rPr>
        <sz val="10"/>
        <rFont val="Arial"/>
        <family val="0"/>
        <charset val="1"/>
      </rPr>
      <t xml:space="preserve">: t.me </t>
    </r>
    <r>
      <rPr>
        <sz val="10"/>
        <rFont val="Noto Sans CJK SC"/>
        <family val="2"/>
      </rPr>
      <t xml:space="preserve">그룹 </t>
    </r>
    <r>
      <rPr>
        <sz val="10"/>
        <rFont val="Arial"/>
        <family val="0"/>
        <charset val="1"/>
      </rPr>
      <t xml:space="preserve">+ private group</t>
    </r>
  </si>
  <si>
    <t xml:space="preserve">https://www.youtube.com/watch?v=vntmLCH6M1w</t>
  </si>
  <si>
    <t xml:space="preserve">Andrew Tate SCHOOLS Modern Women</t>
  </si>
  <si>
    <t xml:space="preserve">whatever Clips</t>
  </si>
  <si>
    <t xml:space="preserve">매노스피어 클립</t>
  </si>
  <si>
    <t xml:space="preserve">https://www.youtube.com/watch?v=Vl6BwGkhH9I</t>
  </si>
  <si>
    <t xml:space="preserve">STREET TAKEOVER IS ACTIVE ALL NIGHT! SIDESHOW TAKEOVER!!</t>
  </si>
  <si>
    <t xml:space="preserve">DStreet</t>
  </si>
  <si>
    <t xml:space="preserve">위험 운전 미화</t>
  </si>
  <si>
    <t xml:space="preserve">키즈 봐도 됨</t>
  </si>
  <si>
    <t xml:space="preserve">키즈</t>
  </si>
  <si>
    <t xml:space="preserve">https://www.youtube.com/watch?v=wfnsRi8Jgdw</t>
  </si>
  <si>
    <t xml:space="preserve">The Great Elephant Toothpaste Experiment!</t>
  </si>
  <si>
    <t xml:space="preserve">SciShow Kids</t>
  </si>
  <si>
    <r>
      <rPr>
        <sz val="10"/>
        <rFont val="Noto Sans CJK SC"/>
        <family val="2"/>
      </rPr>
      <t xml:space="preserve">신뢰 채널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수법 없음</t>
    </r>
  </si>
  <si>
    <r>
      <rPr>
        <sz val="10"/>
        <rFont val="Noto Sans CJK SC"/>
        <family val="2"/>
      </rPr>
      <t xml:space="preserve">확인</t>
    </r>
    <r>
      <rPr>
        <sz val="10"/>
        <rFont val="Arial"/>
        <family val="0"/>
        <charset val="1"/>
      </rPr>
      <t xml:space="preserve">, 6:23</t>
    </r>
  </si>
  <si>
    <t xml:space="preserve">https://www.youtube.com/watch?v=0Qmgdz9E47s</t>
  </si>
  <si>
    <t xml:space="preserve">The Power of Sunlight! Science Project for Kids</t>
  </si>
  <si>
    <t xml:space="preserve">https://www.youtube.com/watch?v=GkBWcJBxSMs</t>
  </si>
  <si>
    <t xml:space="preserve">Let's Make Slime!</t>
  </si>
  <si>
    <t xml:space="preserve">검색만</t>
  </si>
  <si>
    <t xml:space="preserve">https://www.youtube.com/watch?v=a-SPYPAedCA</t>
  </si>
  <si>
    <t xml:space="preserve">Unpoppable Bubbles!</t>
  </si>
  <si>
    <t xml:space="preserve">https://www.youtube.com/watch?v=nmh5ot2F6gM</t>
  </si>
  <si>
    <t xml:space="preserve">Super Strange Animals, Super Animals Full Episode</t>
  </si>
  <si>
    <t xml:space="preserve">Nat Geo Kids</t>
  </si>
  <si>
    <t xml:space="preserve">https://www.youtube.com/watch?v=GULXtdoLgpQ</t>
  </si>
  <si>
    <t xml:space="preserve">LEGO Ideas Medieval Blacksmith 21325 Designer Video</t>
  </si>
  <si>
    <t xml:space="preserve">LEGO</t>
  </si>
  <si>
    <t xml:space="preserve">https://www.youtube.com/watch?v=HcItfU1zwqE</t>
  </si>
  <si>
    <t xml:space="preserve">LEGO Creator Expert Fiat 500 Designer Video</t>
  </si>
  <si>
    <t xml:space="preserve">키즈 승인 필요</t>
  </si>
  <si>
    <t xml:space="preserve">https://www.youtube.com/watch?v=DBwGvKFqBSo</t>
  </si>
  <si>
    <t xml:space="preserve">COMBO PANDA TOYS ARE HERE! Ryan's World Toy Shopping at Walmart and Unboxing</t>
  </si>
  <si>
    <t xml:space="preserve">Combo Panda</t>
  </si>
  <si>
    <r>
      <rPr>
        <sz val="10"/>
        <rFont val="Noto Sans CJK SC"/>
        <family val="2"/>
      </rPr>
      <t xml:space="preserve">언박싱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자사 장난감 쇼핑</t>
    </r>
  </si>
  <si>
    <t xml:space="preserve">https://www.youtube.com/watch?v=2uNNqelTWcs</t>
  </si>
  <si>
    <t xml:space="preserve">ULTRA RARE RYAN'S WORLD Mystery Figure?! Surprise Toy Unboxing</t>
  </si>
  <si>
    <t xml:space="preserve">Channel TOYS Canada</t>
  </si>
  <si>
    <r>
      <rPr>
        <sz val="10"/>
        <rFont val="Noto Sans CJK SC"/>
        <family val="2"/>
      </rPr>
      <t xml:space="preserve">블라인드백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희귀템 나올까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훅</t>
    </r>
  </si>
  <si>
    <t xml:space="preserve">https://www.youtube.com/watch?v=HHugwVWVN-U</t>
  </si>
  <si>
    <t xml:space="preserve">Vlad and Niki Crazy Rocketship Playset Unboxing &amp; Review</t>
  </si>
  <si>
    <t xml:space="preserve">TTPM Toy Reviews</t>
  </si>
  <si>
    <t xml:space="preserve">상업 장난감 리뷰 채널</t>
  </si>
  <si>
    <t xml:space="preserve">https://www.youtube.com/watch?v=mBey7fGYeQ0</t>
  </si>
  <si>
    <t xml:space="preserve">You Won't Believe This Lego Pokemon Build!</t>
  </si>
  <si>
    <t xml:space="preserve">BKHBRICKS</t>
  </si>
  <si>
    <r>
      <rPr>
        <sz val="10"/>
        <rFont val="Noto Sans CJK SC"/>
        <family val="2"/>
      </rPr>
      <t xml:space="preserve">주제는 </t>
    </r>
    <r>
      <rPr>
        <sz val="10"/>
        <rFont val="Arial"/>
        <family val="0"/>
        <charset val="1"/>
      </rPr>
      <t xml:space="preserve">OK, </t>
    </r>
    <r>
      <rPr>
        <sz val="10"/>
        <rFont val="Noto Sans CJK SC"/>
        <family val="2"/>
      </rPr>
      <t xml:space="preserve">제목이 낚시</t>
    </r>
  </si>
  <si>
    <t xml:space="preserve">https://www.youtube.com/watch?v=_p-10Dnytgw</t>
  </si>
  <si>
    <t xml:space="preserve">School/Science Project, Water Wheel, Tinker Crate by KiwiCo</t>
  </si>
  <si>
    <t xml:space="preserve">Matt Creationz</t>
  </si>
  <si>
    <r>
      <rPr>
        <sz val="10"/>
        <rFont val="Noto Sans CJK SC"/>
        <family val="2"/>
      </rPr>
      <t xml:space="preserve">제품명 노출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밝힘 없음</t>
    </r>
  </si>
  <si>
    <t xml:space="preserve">키즈 숨김</t>
  </si>
  <si>
    <t xml:space="preserve">https://www.youtube.com/watch?v=ynLw9MGPicw</t>
  </si>
  <si>
    <t xml:space="preserve">All Jumpscares / SCARY Moments in Outlast &amp; DLC</t>
  </si>
  <si>
    <t xml:space="preserve">DemonBlade Husky</t>
  </si>
  <si>
    <t xml:space="preserve">리얼 호러 게임</t>
  </si>
  <si>
    <t xml:space="preserve">https://www.youtube.com/watch?v=y7TJQTqGNqA</t>
  </si>
  <si>
    <t xml:space="preserve">THE 35 SCARIEST MOMENTS IN Dead By Daylight HISTORY!</t>
  </si>
  <si>
    <t xml:space="preserve">Dead By Daylight Overdose</t>
  </si>
  <si>
    <t xml:space="preserve">https://www.youtube.com/watch?v=rvfyAD7Ufvg</t>
  </si>
  <si>
    <t xml:space="preserve">Five Nights at Freddy's 1-4 All Jumpscares Animation</t>
  </si>
  <si>
    <t xml:space="preserve">Arcade Chick</t>
  </si>
  <si>
    <t xml:space="preserve">점프스케어 모음</t>
  </si>
  <si>
    <t xml:space="preserve">https://www.youtube.com/watch?v=bk5BqNRGZoQ</t>
  </si>
  <si>
    <t xml:space="preserve">HUGGY WUGGY IS BACK &amp; SCARIER! Poppy Playtime Chapter 5</t>
  </si>
  <si>
    <t xml:space="preserve">SpyCakes</t>
  </si>
  <si>
    <t xml:space="preserve">키즈 시청층 채널의 호러</t>
  </si>
  <si>
    <t xml:space="preserve">https://www.youtube.com/watch?v=P09lNUxMfqU</t>
  </si>
  <si>
    <t xml:space="preserve">14 More Horror Stories Animated (Compilation of 2016)</t>
  </si>
  <si>
    <t xml:space="preserve">Llama Arts</t>
  </si>
  <si>
    <t xml:space="preserve">애니메이션 괴담</t>
  </si>
  <si>
    <t xml:space="preserve">https://www.youtube.com/watch?v=1J1fInmPYoY</t>
  </si>
  <si>
    <t xml:space="preserve">Don't Ever Go To A Strange Woman's House (Horror Story Animated)</t>
  </si>
  <si>
    <t xml:space="preserve">Wansee Entertainment</t>
  </si>
  <si>
    <t xml:space="preserve">https://www.youtube.com/watch?v=2QRDjiLBUVE</t>
  </si>
  <si>
    <t xml:space="preserve">Pregnancy Battle: Spiderman Gives Shots and Gets Disney Princesses Pregnant Elsa Prank</t>
  </si>
  <si>
    <t xml:space="preserve">ABC Animals - Nursery Rhymes</t>
  </si>
  <si>
    <r>
      <rPr>
        <sz val="10"/>
        <rFont val="Arial"/>
        <family val="0"/>
        <charset val="1"/>
      </rPr>
      <t xml:space="preserve">Elsagate </t>
    </r>
    <r>
      <rPr>
        <sz val="10"/>
        <rFont val="Noto Sans CJK SC"/>
        <family val="2"/>
      </rPr>
      <t xml:space="preserve">정석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주사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임신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동요 채널 브랜드</t>
    </r>
  </si>
  <si>
    <t xml:space="preserve">https://www.youtube.com/watch?v=bvXMGbeIy_o</t>
  </si>
  <si>
    <t xml:space="preserve">Elsa Baby is Sick! Elsa &amp; Spiderman take baby elsa to the doctor</t>
  </si>
  <si>
    <t xml:space="preserve">moh12vedioes</t>
  </si>
  <si>
    <r>
      <rPr>
        <sz val="10"/>
        <rFont val="Arial"/>
        <family val="0"/>
        <charset val="1"/>
      </rPr>
      <t xml:space="preserve">Elsagate: </t>
    </r>
    <r>
      <rPr>
        <sz val="10"/>
        <rFont val="Noto Sans CJK SC"/>
        <family val="2"/>
      </rPr>
      <t xml:space="preserve">캐릭터 위장</t>
    </r>
  </si>
  <si>
    <t xml:space="preserve">https://www.youtube.com/watch?v=2JJGBCXkz_4</t>
  </si>
  <si>
    <t xml:space="preserve">iMakeMcVids 1 Hour Rage Compilation, THE BEST RAGES OF MINECRAFT</t>
  </si>
  <si>
    <t xml:space="preserve">iMakeMcVids</t>
  </si>
  <si>
    <r>
      <rPr>
        <sz val="10"/>
        <rFont val="Noto Sans CJK SC"/>
        <family val="2"/>
      </rPr>
      <t xml:space="preserve">키즈 게임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욕설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분노</t>
    </r>
  </si>
  <si>
    <t xml:space="preserve">https://www.youtube.com/watch?v=eKlJfCBnMyU</t>
  </si>
  <si>
    <t xml:space="preserve">Creepy Toy Prank, Scaring my 3 year old.</t>
  </si>
  <si>
    <t xml:space="preserve">Outdoor Boys</t>
  </si>
  <si>
    <t xml:space="preserve">아이 울리는 장난</t>
  </si>
  <si>
    <t xml:space="preserve">https://www.youtube.com/watch?v=0OjQadFdvFc</t>
  </si>
  <si>
    <t xml:space="preserve">Destroying Little Brothers Money Prank! (He Cries)</t>
  </si>
  <si>
    <t xml:space="preserve">Diamond Mamba</t>
  </si>
  <si>
    <r>
      <rPr>
        <sz val="10"/>
        <rFont val="Noto Sans CJK SC"/>
        <family val="2"/>
      </rPr>
      <t xml:space="preserve">아이 울리는 장난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제목에 </t>
    </r>
    <r>
      <rPr>
        <sz val="10"/>
        <rFont val="Arial"/>
        <family val="0"/>
        <charset val="1"/>
      </rPr>
      <t xml:space="preserve">he cries</t>
    </r>
  </si>
  <si>
    <t xml:space="preserve">https://www.youtube.com/watch?v=Kku6cAkhro0</t>
  </si>
  <si>
    <t xml:space="preserve">BRUTAL Rockets, Miniguns and Landmines MOD, MINECRAFT EDUCATION</t>
  </si>
  <si>
    <t xml:space="preserve">Learn With Minecraft Education</t>
  </si>
  <si>
    <t xml:space="preserve">무기 콘텐츠에 교육 프레임</t>
  </si>
  <si>
    <t xml:space="preserve">오탐 테스트</t>
  </si>
  <si>
    <t xml:space="preserve">공통</t>
  </si>
  <si>
    <t xml:space="preserve">https://www.youtube.com/watch?v=OWiSw26KN1s</t>
  </si>
  <si>
    <t xml:space="preserve">The truth about the teatox craze (Marketplace)</t>
  </si>
  <si>
    <t xml:space="preserve">CBC News</t>
  </si>
  <si>
    <r>
      <rPr>
        <sz val="10"/>
        <rFont val="Noto Sans CJK SC"/>
        <family val="2"/>
      </rPr>
      <t xml:space="preserve">탐사보도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디톡스 차 키워드 공유</t>
    </r>
  </si>
  <si>
    <t xml:space="preserve">https://www.youtube.com/watch?v=Q7cXWq8eiJI</t>
  </si>
  <si>
    <t xml:space="preserve">Nutritionists Say Detox Teas Offer Temporary Weight Loss</t>
  </si>
  <si>
    <t xml:space="preserve">CBS Philadelphia</t>
  </si>
  <si>
    <t xml:space="preserve">뉴스 팩트체크</t>
  </si>
  <si>
    <t xml:space="preserve">https://www.youtube.com/watch?v=OC4ijKLqzqc</t>
  </si>
  <si>
    <t xml:space="preserve">Detox Tea Is a SCAM (Here's the Truth)</t>
  </si>
  <si>
    <t xml:space="preserve">Fiaz Ali</t>
  </si>
  <si>
    <r>
      <rPr>
        <sz val="10"/>
        <rFont val="Noto Sans CJK SC"/>
        <family val="2"/>
      </rPr>
      <t xml:space="preserve">대문자 낚시 스타일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내용은 디벙킹</t>
    </r>
  </si>
  <si>
    <t xml:space="preserve">https://www.youtube.com/watch?v=c2XqFcOrXs0</t>
  </si>
  <si>
    <t xml:space="preserve">Do CRINGE Youtube Thumbnail Faces Get More Views?</t>
  </si>
  <si>
    <t xml:space="preserve">VEED CREATORS</t>
  </si>
  <si>
    <t xml:space="preserve">낚시에 대한 실험</t>
  </si>
  <si>
    <r>
      <rPr>
        <sz val="10"/>
        <rFont val="Noto Sans CJK SC"/>
        <family val="2"/>
      </rPr>
      <t xml:space="preserve">확인</t>
    </r>
    <r>
      <rPr>
        <sz val="10"/>
        <rFont val="Arial"/>
        <family val="0"/>
        <charset val="1"/>
      </rPr>
      <t xml:space="preserve">, 5:44</t>
    </r>
  </si>
  <si>
    <t xml:space="preserve">https://www.youtube.com/watch?v=2hKNZLROmXo</t>
  </si>
  <si>
    <t xml:space="preserve">30 Best AMAZON Buys + MUST HAVE Products</t>
  </si>
  <si>
    <t xml:space="preserve">Emily Norris</t>
  </si>
  <si>
    <r>
      <rPr>
        <sz val="10"/>
        <rFont val="Arial"/>
        <family val="0"/>
        <charset val="1"/>
      </rPr>
      <t xml:space="preserve">'not sponsored'</t>
    </r>
    <r>
      <rPr>
        <sz val="10"/>
        <rFont val="Noto Sans CJK SC"/>
        <family val="2"/>
      </rPr>
      <t xml:space="preserve">인데 제휴 수수료를 밝힘</t>
    </r>
    <r>
      <rPr>
        <sz val="10"/>
        <rFont val="Arial"/>
        <family val="0"/>
        <charset val="1"/>
      </rPr>
      <t xml:space="preserve">. hidden_ad </t>
    </r>
    <r>
      <rPr>
        <sz val="10"/>
        <rFont val="Noto Sans CJK SC"/>
        <family val="2"/>
      </rPr>
      <t xml:space="preserve">아님</t>
    </r>
  </si>
  <si>
    <t xml:space="preserve">https://www.youtube.com/watch?v=F0goYr9VOkU</t>
  </si>
  <si>
    <t xml:space="preserve">How To Cash Out $500 Free On Cash App, 2026 Guide</t>
  </si>
  <si>
    <t xml:space="preserve">Shax Finds</t>
  </si>
  <si>
    <r>
      <rPr>
        <sz val="10"/>
        <rFont val="Noto Sans CJK SC"/>
        <family val="2"/>
      </rPr>
      <t xml:space="preserve">제목은 사기 미끼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내용은 사기 식별법</t>
    </r>
  </si>
  <si>
    <t xml:space="preserve">https://www.youtube.com/watch?v=TOIpYlOcEGM</t>
  </si>
  <si>
    <t xml:space="preserve">Day in the Life of a RICH Teenage YouTuber (don't be jel hun)</t>
  </si>
  <si>
    <t xml:space="preserve">lookingforlewys</t>
  </si>
  <si>
    <r>
      <rPr>
        <sz val="10"/>
        <rFont val="Noto Sans CJK SC"/>
        <family val="2"/>
      </rPr>
      <t xml:space="preserve">럭셔리 브이로그 풍자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협찬 표시 있음</t>
    </r>
  </si>
  <si>
    <t xml:space="preserve">범례</t>
  </si>
  <si>
    <r>
      <rPr>
        <sz val="10"/>
        <rFont val="Noto Sans CJK SC"/>
        <family val="2"/>
      </rPr>
      <t xml:space="preserve">노란 칸</t>
    </r>
    <r>
      <rPr>
        <sz val="10"/>
        <rFont val="Arial"/>
        <family val="0"/>
        <charset val="1"/>
      </rPr>
      <t xml:space="preserve">(J~M)</t>
    </r>
    <r>
      <rPr>
        <sz val="10"/>
        <rFont val="Noto Sans CJK SC"/>
        <family val="2"/>
      </rPr>
      <t xml:space="preserve">만 채운다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확정 라벨은 </t>
    </r>
    <r>
      <rPr>
        <sz val="10"/>
        <rFont val="Arial"/>
        <family val="0"/>
        <charset val="1"/>
      </rPr>
      <t xml:space="preserve">fake_urgency / hidden_ad / body_image_pressure / engagement_bait / misleading_thumbnail / fake_social_proof </t>
    </r>
    <r>
      <rPr>
        <sz val="10"/>
        <rFont val="Noto Sans CJK SC"/>
        <family val="2"/>
      </rPr>
      <t xml:space="preserve">중 해당하는 것을 쉼표로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확정 판정은 드롭다운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밝힘 문구는 설명란에 </t>
    </r>
    <r>
      <rPr>
        <sz val="10"/>
        <rFont val="Arial"/>
        <family val="0"/>
        <charset val="1"/>
      </rPr>
      <t xml:space="preserve">ad / sponsored / affiliate / commission / paid partnership </t>
    </r>
    <r>
      <rPr>
        <sz val="10"/>
        <rFont val="Noto Sans CJK SC"/>
        <family val="2"/>
      </rPr>
      <t xml:space="preserve">중 하나라도 있으면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있음</t>
    </r>
    <r>
      <rPr>
        <sz val="10"/>
        <rFont val="Arial"/>
        <family val="0"/>
        <charset val="1"/>
      </rPr>
      <t xml:space="preserve">'.</t>
    </r>
  </si>
  <si>
    <r>
      <rPr>
        <sz val="10"/>
        <rFont val="Noto Sans CJK SC"/>
        <family val="2"/>
      </rPr>
      <t xml:space="preserve">예시 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번 </t>
    </r>
    <r>
      <rPr>
        <sz val="10"/>
        <rFont val="Arial"/>
        <family val="0"/>
        <charset val="1"/>
      </rPr>
      <t xml:space="preserve">Tesla): </t>
    </r>
    <r>
      <rPr>
        <sz val="10"/>
        <rFont val="Noto Sans CJK SC"/>
        <family val="2"/>
      </rPr>
      <t xml:space="preserve">확정 라벨 </t>
    </r>
    <r>
      <rPr>
        <sz val="10"/>
        <rFont val="Arial"/>
        <family val="0"/>
        <charset val="1"/>
      </rPr>
      <t xml:space="preserve">= fake_urgency, giveaway </t>
    </r>
    <r>
      <rPr>
        <sz val="10"/>
        <rFont val="Noto Sans CJK SC"/>
        <family val="2"/>
      </rPr>
      <t xml:space="preserve">계열이면 </t>
    </r>
    <r>
      <rPr>
        <sz val="10"/>
        <rFont val="Arial"/>
        <family val="0"/>
        <charset val="1"/>
      </rPr>
      <t xml:space="preserve">fake_social_proof </t>
    </r>
    <r>
      <rPr>
        <sz val="10"/>
        <rFont val="Noto Sans CJK SC"/>
        <family val="2"/>
      </rPr>
      <t xml:space="preserve">추가 검토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확정 판정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봐도 됨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밝힘 문구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해당 없음</t>
    </r>
  </si>
  <si>
    <r>
      <rPr>
        <sz val="10"/>
        <rFont val="Noto Sans CJK SC"/>
        <family val="2"/>
      </rPr>
      <t xml:space="preserve">가라벨은 웹 검색 결과 기준이라 </t>
    </r>
    <r>
      <rPr>
        <sz val="10"/>
        <rFont val="Arial"/>
        <family val="0"/>
        <charset val="1"/>
      </rPr>
      <t xml:space="preserve">yt-dlp</t>
    </r>
    <r>
      <rPr>
        <sz val="10"/>
        <rFont val="Noto Sans CJK SC"/>
        <family val="2"/>
      </rPr>
      <t xml:space="preserve">로 설명란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자막을 받은 뒤 다시 매긴다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출처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검색 에이전트</t>
    </r>
    <r>
      <rPr>
        <sz val="10"/>
        <rFont val="Arial"/>
        <family val="0"/>
        <charset val="1"/>
      </rPr>
      <t xml:space="preserve">, 2026-10-20.</t>
    </r>
  </si>
  <si>
    <t xml:space="preserve">개수</t>
  </si>
  <si>
    <t xml:space="preserve">확정 판정 입력됨</t>
  </si>
  <si>
    <t xml:space="preserve">합계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</si>
</sst>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44"/>
    <col collapsed="false" customWidth="true" hidden="false" outlineLevel="0" max="5" min="5" style="0" width="52"/>
    <col collapsed="false" customWidth="true" hidden="false" outlineLevel="0" max="6" min="6" style="0" width="20"/>
    <col collapsed="false" customWidth="true" hidden="false" outlineLevel="0" max="7" min="7" style="0" width="4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24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3" min="13" style="0" width="30"/>
  </cols>
  <sheetData>
    <row r="1" customFormat="false" ht="32.8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23.85" hidden="false" customHeight="false" outlineLevel="0" collapsed="false">
      <c r="A2" s="3" t="n">
        <v>1</v>
      </c>
      <c r="B2" s="4" t="s">
        <v>13</v>
      </c>
      <c r="C2" s="4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4" t="s">
        <v>19</v>
      </c>
      <c r="I2" s="4" t="s">
        <v>20</v>
      </c>
      <c r="J2" s="5"/>
      <c r="K2" s="5"/>
      <c r="L2" s="5"/>
      <c r="M2" s="5"/>
    </row>
    <row r="3" customFormat="false" ht="15" hidden="false" customHeight="false" outlineLevel="0" collapsed="false">
      <c r="A3" s="3" t="n">
        <v>2</v>
      </c>
      <c r="B3" s="4" t="s">
        <v>13</v>
      </c>
      <c r="C3" s="4" t="s">
        <v>14</v>
      </c>
      <c r="D3" s="3" t="s">
        <v>21</v>
      </c>
      <c r="E3" s="3" t="s">
        <v>22</v>
      </c>
      <c r="F3" s="3" t="s">
        <v>23</v>
      </c>
      <c r="G3" s="3" t="s">
        <v>18</v>
      </c>
      <c r="H3" s="4" t="s">
        <v>24</v>
      </c>
      <c r="I3" s="3"/>
      <c r="J3" s="5"/>
      <c r="K3" s="5"/>
      <c r="L3" s="5"/>
      <c r="M3" s="5"/>
    </row>
    <row r="4" customFormat="false" ht="15" hidden="false" customHeight="false" outlineLevel="0" collapsed="false">
      <c r="A4" s="3" t="n">
        <v>3</v>
      </c>
      <c r="B4" s="4" t="s">
        <v>13</v>
      </c>
      <c r="C4" s="4" t="s">
        <v>14</v>
      </c>
      <c r="D4" s="3" t="s">
        <v>25</v>
      </c>
      <c r="E4" s="3" t="s">
        <v>26</v>
      </c>
      <c r="F4" s="3" t="s">
        <v>27</v>
      </c>
      <c r="G4" s="3" t="s">
        <v>28</v>
      </c>
      <c r="H4" s="4" t="s">
        <v>29</v>
      </c>
      <c r="I4" s="4" t="s">
        <v>20</v>
      </c>
      <c r="J4" s="5"/>
      <c r="K4" s="5"/>
      <c r="L4" s="5"/>
      <c r="M4" s="5"/>
    </row>
    <row r="5" customFormat="false" ht="15" hidden="false" customHeight="false" outlineLevel="0" collapsed="false">
      <c r="A5" s="3" t="n">
        <v>4</v>
      </c>
      <c r="B5" s="4" t="s">
        <v>13</v>
      </c>
      <c r="C5" s="4" t="s">
        <v>14</v>
      </c>
      <c r="D5" s="3" t="s">
        <v>30</v>
      </c>
      <c r="E5" s="3" t="s">
        <v>31</v>
      </c>
      <c r="F5" s="3" t="s">
        <v>32</v>
      </c>
      <c r="G5" s="3" t="s">
        <v>33</v>
      </c>
      <c r="H5" s="4" t="s">
        <v>34</v>
      </c>
      <c r="I5" s="3"/>
      <c r="J5" s="5"/>
      <c r="K5" s="5"/>
      <c r="L5" s="5"/>
      <c r="M5" s="5"/>
    </row>
    <row r="6" customFormat="false" ht="23.85" hidden="false" customHeight="false" outlineLevel="0" collapsed="false">
      <c r="A6" s="3" t="n">
        <v>5</v>
      </c>
      <c r="B6" s="4" t="s">
        <v>13</v>
      </c>
      <c r="C6" s="4" t="s">
        <v>14</v>
      </c>
      <c r="D6" s="3" t="s">
        <v>35</v>
      </c>
      <c r="E6" s="3" t="s">
        <v>36</v>
      </c>
      <c r="F6" s="3" t="s">
        <v>37</v>
      </c>
      <c r="G6" s="3" t="s">
        <v>38</v>
      </c>
      <c r="H6" s="4" t="s">
        <v>24</v>
      </c>
      <c r="I6" s="3"/>
      <c r="J6" s="5"/>
      <c r="K6" s="5"/>
      <c r="L6" s="5"/>
      <c r="M6" s="5"/>
    </row>
    <row r="7" customFormat="false" ht="15" hidden="false" customHeight="false" outlineLevel="0" collapsed="false">
      <c r="A7" s="3" t="n">
        <v>6</v>
      </c>
      <c r="B7" s="4" t="s">
        <v>13</v>
      </c>
      <c r="C7" s="4" t="s">
        <v>14</v>
      </c>
      <c r="D7" s="3" t="s">
        <v>39</v>
      </c>
      <c r="E7" s="3" t="s">
        <v>40</v>
      </c>
      <c r="F7" s="3" t="s">
        <v>41</v>
      </c>
      <c r="G7" s="3" t="s">
        <v>42</v>
      </c>
      <c r="H7" s="4" t="s">
        <v>24</v>
      </c>
      <c r="I7" s="3"/>
      <c r="J7" s="5"/>
      <c r="K7" s="5"/>
      <c r="L7" s="5"/>
      <c r="M7" s="5"/>
    </row>
    <row r="8" customFormat="false" ht="15" hidden="false" customHeight="false" outlineLevel="0" collapsed="false">
      <c r="A8" s="3" t="n">
        <v>7</v>
      </c>
      <c r="B8" s="4" t="s">
        <v>13</v>
      </c>
      <c r="C8" s="4" t="s">
        <v>14</v>
      </c>
      <c r="D8" s="3" t="s">
        <v>43</v>
      </c>
      <c r="E8" s="3" t="s">
        <v>44</v>
      </c>
      <c r="F8" s="3" t="s">
        <v>45</v>
      </c>
      <c r="G8" s="3" t="s">
        <v>46</v>
      </c>
      <c r="H8" s="4" t="s">
        <v>24</v>
      </c>
      <c r="I8" s="3"/>
      <c r="J8" s="5"/>
      <c r="K8" s="5"/>
      <c r="L8" s="5"/>
      <c r="M8" s="5"/>
    </row>
    <row r="9" customFormat="false" ht="23.85" hidden="false" customHeight="false" outlineLevel="0" collapsed="false">
      <c r="A9" s="3" t="n">
        <v>8</v>
      </c>
      <c r="B9" s="4" t="s">
        <v>13</v>
      </c>
      <c r="C9" s="4" t="s">
        <v>14</v>
      </c>
      <c r="D9" s="3" t="s">
        <v>47</v>
      </c>
      <c r="E9" s="3" t="s">
        <v>48</v>
      </c>
      <c r="F9" s="3" t="s">
        <v>49</v>
      </c>
      <c r="G9" s="3" t="s">
        <v>50</v>
      </c>
      <c r="H9" s="4" t="s">
        <v>24</v>
      </c>
      <c r="I9" s="3"/>
      <c r="J9" s="5"/>
      <c r="K9" s="5"/>
      <c r="L9" s="5"/>
      <c r="M9" s="5"/>
    </row>
    <row r="10" customFormat="false" ht="15" hidden="false" customHeight="false" outlineLevel="0" collapsed="false">
      <c r="A10" s="3" t="n">
        <v>9</v>
      </c>
      <c r="B10" s="4" t="s">
        <v>13</v>
      </c>
      <c r="C10" s="4" t="s">
        <v>14</v>
      </c>
      <c r="D10" s="3" t="s">
        <v>51</v>
      </c>
      <c r="E10" s="3" t="s">
        <v>52</v>
      </c>
      <c r="F10" s="3" t="s">
        <v>53</v>
      </c>
      <c r="G10" s="3" t="s">
        <v>54</v>
      </c>
      <c r="H10" s="4" t="s">
        <v>24</v>
      </c>
      <c r="I10" s="3"/>
      <c r="J10" s="5"/>
      <c r="K10" s="5"/>
      <c r="L10" s="5"/>
      <c r="M10" s="5"/>
    </row>
    <row r="11" customFormat="false" ht="15" hidden="false" customHeight="false" outlineLevel="0" collapsed="false">
      <c r="A11" s="3" t="n">
        <v>10</v>
      </c>
      <c r="B11" s="4" t="s">
        <v>13</v>
      </c>
      <c r="C11" s="4" t="s">
        <v>14</v>
      </c>
      <c r="D11" s="3" t="s">
        <v>55</v>
      </c>
      <c r="E11" s="3" t="s">
        <v>56</v>
      </c>
      <c r="F11" s="3" t="s">
        <v>57</v>
      </c>
      <c r="G11" s="3" t="s">
        <v>58</v>
      </c>
      <c r="H11" s="4" t="s">
        <v>24</v>
      </c>
      <c r="I11" s="3"/>
      <c r="J11" s="5"/>
      <c r="K11" s="5"/>
      <c r="L11" s="5"/>
      <c r="M11" s="5"/>
    </row>
    <row r="12" customFormat="false" ht="15" hidden="false" customHeight="false" outlineLevel="0" collapsed="false">
      <c r="A12" s="3" t="n">
        <v>11</v>
      </c>
      <c r="B12" s="4" t="s">
        <v>59</v>
      </c>
      <c r="C12" s="4" t="s">
        <v>14</v>
      </c>
      <c r="D12" s="3" t="s">
        <v>60</v>
      </c>
      <c r="E12" s="3" t="s">
        <v>61</v>
      </c>
      <c r="F12" s="3" t="s">
        <v>62</v>
      </c>
      <c r="G12" s="4" t="s">
        <v>63</v>
      </c>
      <c r="H12" s="4" t="s">
        <v>24</v>
      </c>
      <c r="I12" s="4" t="s">
        <v>20</v>
      </c>
      <c r="J12" s="5"/>
      <c r="K12" s="5"/>
      <c r="L12" s="5"/>
      <c r="M12" s="5"/>
    </row>
    <row r="13" customFormat="false" ht="23.85" hidden="false" customHeight="false" outlineLevel="0" collapsed="false">
      <c r="A13" s="3" t="n">
        <v>12</v>
      </c>
      <c r="B13" s="4" t="s">
        <v>59</v>
      </c>
      <c r="C13" s="4" t="s">
        <v>14</v>
      </c>
      <c r="D13" s="3" t="s">
        <v>64</v>
      </c>
      <c r="E13" s="3" t="s">
        <v>65</v>
      </c>
      <c r="F13" s="3" t="s">
        <v>66</v>
      </c>
      <c r="G13" s="4" t="s">
        <v>67</v>
      </c>
      <c r="H13" s="4" t="s">
        <v>24</v>
      </c>
      <c r="I13" s="3"/>
      <c r="J13" s="5"/>
      <c r="K13" s="5"/>
      <c r="L13" s="5"/>
      <c r="M13" s="5"/>
    </row>
    <row r="14" customFormat="false" ht="15" hidden="false" customHeight="false" outlineLevel="0" collapsed="false">
      <c r="A14" s="3" t="n">
        <v>13</v>
      </c>
      <c r="B14" s="4" t="s">
        <v>59</v>
      </c>
      <c r="C14" s="4" t="s">
        <v>14</v>
      </c>
      <c r="D14" s="3" t="s">
        <v>68</v>
      </c>
      <c r="E14" s="3" t="s">
        <v>69</v>
      </c>
      <c r="F14" s="3" t="s">
        <v>70</v>
      </c>
      <c r="G14" s="4" t="s">
        <v>71</v>
      </c>
      <c r="H14" s="4" t="s">
        <v>24</v>
      </c>
      <c r="I14" s="3"/>
      <c r="J14" s="5"/>
      <c r="K14" s="5"/>
      <c r="L14" s="5"/>
      <c r="M14" s="5"/>
    </row>
    <row r="15" customFormat="false" ht="15" hidden="false" customHeight="false" outlineLevel="0" collapsed="false">
      <c r="A15" s="3" t="n">
        <v>14</v>
      </c>
      <c r="B15" s="4" t="s">
        <v>72</v>
      </c>
      <c r="C15" s="4" t="s">
        <v>14</v>
      </c>
      <c r="D15" s="3" t="s">
        <v>73</v>
      </c>
      <c r="E15" s="3" t="s">
        <v>74</v>
      </c>
      <c r="F15" s="3" t="s">
        <v>75</v>
      </c>
      <c r="G15" s="4" t="s">
        <v>76</v>
      </c>
      <c r="H15" s="4" t="s">
        <v>77</v>
      </c>
      <c r="I15" s="4" t="s">
        <v>20</v>
      </c>
      <c r="J15" s="5"/>
      <c r="K15" s="5"/>
      <c r="L15" s="5"/>
      <c r="M15" s="5"/>
    </row>
    <row r="16" customFormat="false" ht="23.85" hidden="false" customHeight="false" outlineLevel="0" collapsed="false">
      <c r="A16" s="3" t="n">
        <v>15</v>
      </c>
      <c r="B16" s="4" t="s">
        <v>72</v>
      </c>
      <c r="C16" s="4" t="s">
        <v>14</v>
      </c>
      <c r="D16" s="3" t="s">
        <v>78</v>
      </c>
      <c r="E16" s="3" t="s">
        <v>79</v>
      </c>
      <c r="F16" s="3" t="s">
        <v>80</v>
      </c>
      <c r="G16" s="4" t="s">
        <v>81</v>
      </c>
      <c r="H16" s="4" t="s">
        <v>77</v>
      </c>
      <c r="I16" s="3"/>
      <c r="J16" s="5"/>
      <c r="K16" s="5"/>
      <c r="L16" s="5"/>
      <c r="M16" s="5"/>
    </row>
    <row r="17" customFormat="false" ht="15" hidden="false" customHeight="false" outlineLevel="0" collapsed="false">
      <c r="A17" s="3" t="n">
        <v>16</v>
      </c>
      <c r="B17" s="4" t="s">
        <v>72</v>
      </c>
      <c r="C17" s="4" t="s">
        <v>14</v>
      </c>
      <c r="D17" s="3" t="s">
        <v>82</v>
      </c>
      <c r="E17" s="3" t="s">
        <v>83</v>
      </c>
      <c r="F17" s="3" t="s">
        <v>84</v>
      </c>
      <c r="G17" s="4" t="s">
        <v>85</v>
      </c>
      <c r="H17" s="4" t="s">
        <v>24</v>
      </c>
      <c r="I17" s="3"/>
      <c r="J17" s="5"/>
      <c r="K17" s="5"/>
      <c r="L17" s="5"/>
      <c r="M17" s="5"/>
    </row>
    <row r="18" customFormat="false" ht="23.85" hidden="false" customHeight="false" outlineLevel="0" collapsed="false">
      <c r="A18" s="3" t="n">
        <v>17</v>
      </c>
      <c r="B18" s="4" t="s">
        <v>72</v>
      </c>
      <c r="C18" s="4" t="s">
        <v>14</v>
      </c>
      <c r="D18" s="3" t="s">
        <v>86</v>
      </c>
      <c r="E18" s="3" t="s">
        <v>87</v>
      </c>
      <c r="F18" s="3" t="s">
        <v>84</v>
      </c>
      <c r="G18" s="4" t="s">
        <v>88</v>
      </c>
      <c r="H18" s="4" t="s">
        <v>77</v>
      </c>
      <c r="I18" s="4" t="s">
        <v>20</v>
      </c>
      <c r="J18" s="5"/>
      <c r="K18" s="5"/>
      <c r="L18" s="5"/>
      <c r="M18" s="5"/>
    </row>
    <row r="19" customFormat="false" ht="15" hidden="false" customHeight="false" outlineLevel="0" collapsed="false">
      <c r="A19" s="3" t="n">
        <v>18</v>
      </c>
      <c r="B19" s="4" t="s">
        <v>72</v>
      </c>
      <c r="C19" s="4" t="s">
        <v>14</v>
      </c>
      <c r="D19" s="3" t="s">
        <v>89</v>
      </c>
      <c r="E19" s="3" t="s">
        <v>90</v>
      </c>
      <c r="F19" s="3" t="s">
        <v>91</v>
      </c>
      <c r="G19" s="4" t="s">
        <v>92</v>
      </c>
      <c r="H19" s="4" t="s">
        <v>24</v>
      </c>
      <c r="I19" s="3"/>
      <c r="J19" s="5"/>
      <c r="K19" s="5"/>
      <c r="L19" s="5"/>
      <c r="M19" s="5"/>
    </row>
    <row r="20" customFormat="false" ht="15" hidden="false" customHeight="false" outlineLevel="0" collapsed="false">
      <c r="A20" s="3" t="n">
        <v>19</v>
      </c>
      <c r="B20" s="4" t="s">
        <v>72</v>
      </c>
      <c r="C20" s="4" t="s">
        <v>14</v>
      </c>
      <c r="D20" s="3" t="s">
        <v>93</v>
      </c>
      <c r="E20" s="3" t="s">
        <v>94</v>
      </c>
      <c r="F20" s="3" t="s">
        <v>95</v>
      </c>
      <c r="G20" s="4" t="s">
        <v>96</v>
      </c>
      <c r="H20" s="4" t="s">
        <v>24</v>
      </c>
      <c r="I20" s="3"/>
      <c r="J20" s="5"/>
      <c r="K20" s="5"/>
      <c r="L20" s="5"/>
      <c r="M20" s="5"/>
    </row>
    <row r="21" customFormat="false" ht="15" hidden="false" customHeight="false" outlineLevel="0" collapsed="false">
      <c r="A21" s="3" t="n">
        <v>20</v>
      </c>
      <c r="B21" s="4" t="s">
        <v>72</v>
      </c>
      <c r="C21" s="4" t="s">
        <v>14</v>
      </c>
      <c r="D21" s="3" t="s">
        <v>97</v>
      </c>
      <c r="E21" s="3" t="s">
        <v>98</v>
      </c>
      <c r="F21" s="3" t="s">
        <v>99</v>
      </c>
      <c r="G21" s="4" t="s">
        <v>100</v>
      </c>
      <c r="H21" s="4" t="s">
        <v>24</v>
      </c>
      <c r="I21" s="3"/>
      <c r="J21" s="5"/>
      <c r="K21" s="5"/>
      <c r="L21" s="5"/>
      <c r="M21" s="5"/>
    </row>
    <row r="22" customFormat="false" ht="23.85" hidden="false" customHeight="false" outlineLevel="0" collapsed="false">
      <c r="A22" s="3" t="n">
        <v>21</v>
      </c>
      <c r="B22" s="4" t="s">
        <v>72</v>
      </c>
      <c r="C22" s="4" t="s">
        <v>14</v>
      </c>
      <c r="D22" s="3" t="s">
        <v>101</v>
      </c>
      <c r="E22" s="3" t="s">
        <v>102</v>
      </c>
      <c r="F22" s="3" t="s">
        <v>103</v>
      </c>
      <c r="G22" s="4" t="s">
        <v>104</v>
      </c>
      <c r="H22" s="4" t="s">
        <v>24</v>
      </c>
      <c r="I22" s="3"/>
      <c r="J22" s="5"/>
      <c r="K22" s="5"/>
      <c r="L22" s="5"/>
      <c r="M22" s="5"/>
    </row>
    <row r="23" customFormat="false" ht="15" hidden="false" customHeight="false" outlineLevel="0" collapsed="false">
      <c r="A23" s="3" t="n">
        <v>22</v>
      </c>
      <c r="B23" s="4" t="s">
        <v>72</v>
      </c>
      <c r="C23" s="4" t="s">
        <v>14</v>
      </c>
      <c r="D23" s="3" t="s">
        <v>105</v>
      </c>
      <c r="E23" s="3" t="s">
        <v>106</v>
      </c>
      <c r="F23" s="3" t="s">
        <v>107</v>
      </c>
      <c r="G23" s="4" t="s">
        <v>108</v>
      </c>
      <c r="H23" s="4" t="s">
        <v>24</v>
      </c>
      <c r="I23" s="3"/>
      <c r="J23" s="5"/>
      <c r="K23" s="5"/>
      <c r="L23" s="5"/>
      <c r="M23" s="5"/>
    </row>
    <row r="24" customFormat="false" ht="15" hidden="false" customHeight="false" outlineLevel="0" collapsed="false">
      <c r="A24" s="3" t="n">
        <v>23</v>
      </c>
      <c r="B24" s="4" t="s">
        <v>72</v>
      </c>
      <c r="C24" s="4" t="s">
        <v>14</v>
      </c>
      <c r="D24" s="3" t="s">
        <v>109</v>
      </c>
      <c r="E24" s="3" t="s">
        <v>110</v>
      </c>
      <c r="F24" s="3" t="s">
        <v>111</v>
      </c>
      <c r="G24" s="4" t="s">
        <v>112</v>
      </c>
      <c r="H24" s="4" t="s">
        <v>77</v>
      </c>
      <c r="I24" s="3"/>
      <c r="J24" s="5"/>
      <c r="K24" s="5"/>
      <c r="L24" s="5"/>
      <c r="M24" s="5"/>
    </row>
    <row r="25" customFormat="false" ht="15" hidden="false" customHeight="false" outlineLevel="0" collapsed="false">
      <c r="A25" s="3" t="n">
        <v>24</v>
      </c>
      <c r="B25" s="4" t="s">
        <v>72</v>
      </c>
      <c r="C25" s="4" t="s">
        <v>14</v>
      </c>
      <c r="D25" s="3" t="s">
        <v>113</v>
      </c>
      <c r="E25" s="3" t="s">
        <v>114</v>
      </c>
      <c r="F25" s="3" t="s">
        <v>115</v>
      </c>
      <c r="G25" s="4" t="s">
        <v>116</v>
      </c>
      <c r="H25" s="4" t="s">
        <v>24</v>
      </c>
      <c r="I25" s="3"/>
      <c r="J25" s="5"/>
      <c r="K25" s="5"/>
      <c r="L25" s="5"/>
      <c r="M25" s="5"/>
    </row>
    <row r="26" customFormat="false" ht="23.85" hidden="false" customHeight="false" outlineLevel="0" collapsed="false">
      <c r="A26" s="3" t="n">
        <v>25</v>
      </c>
      <c r="B26" s="4" t="s">
        <v>72</v>
      </c>
      <c r="C26" s="4" t="s">
        <v>14</v>
      </c>
      <c r="D26" s="3" t="s">
        <v>117</v>
      </c>
      <c r="E26" s="3" t="s">
        <v>118</v>
      </c>
      <c r="F26" s="3" t="s">
        <v>119</v>
      </c>
      <c r="G26" s="4" t="s">
        <v>120</v>
      </c>
      <c r="H26" s="4" t="s">
        <v>24</v>
      </c>
      <c r="I26" s="3"/>
      <c r="J26" s="5"/>
      <c r="K26" s="5"/>
      <c r="L26" s="5"/>
      <c r="M26" s="5"/>
    </row>
    <row r="27" customFormat="false" ht="15" hidden="false" customHeight="false" outlineLevel="0" collapsed="false">
      <c r="A27" s="3" t="n">
        <v>26</v>
      </c>
      <c r="B27" s="4" t="s">
        <v>121</v>
      </c>
      <c r="C27" s="4" t="s">
        <v>122</v>
      </c>
      <c r="D27" s="3" t="s">
        <v>123</v>
      </c>
      <c r="E27" s="3" t="s">
        <v>124</v>
      </c>
      <c r="F27" s="3" t="s">
        <v>125</v>
      </c>
      <c r="G27" s="4" t="s">
        <v>126</v>
      </c>
      <c r="H27" s="4" t="s">
        <v>127</v>
      </c>
      <c r="I27" s="4" t="s">
        <v>20</v>
      </c>
      <c r="J27" s="5"/>
      <c r="K27" s="5"/>
      <c r="L27" s="5"/>
      <c r="M27" s="5"/>
    </row>
    <row r="28" customFormat="false" ht="15" hidden="false" customHeight="false" outlineLevel="0" collapsed="false">
      <c r="A28" s="3" t="n">
        <v>27</v>
      </c>
      <c r="B28" s="4" t="s">
        <v>121</v>
      </c>
      <c r="C28" s="4" t="s">
        <v>122</v>
      </c>
      <c r="D28" s="3" t="s">
        <v>128</v>
      </c>
      <c r="E28" s="3" t="s">
        <v>129</v>
      </c>
      <c r="F28" s="3" t="s">
        <v>125</v>
      </c>
      <c r="G28" s="4" t="s">
        <v>126</v>
      </c>
      <c r="H28" s="4" t="s">
        <v>24</v>
      </c>
      <c r="I28" s="3"/>
      <c r="J28" s="5"/>
      <c r="K28" s="5"/>
      <c r="L28" s="5"/>
      <c r="M28" s="5"/>
    </row>
    <row r="29" customFormat="false" ht="15" hidden="false" customHeight="false" outlineLevel="0" collapsed="false">
      <c r="A29" s="3" t="n">
        <v>28</v>
      </c>
      <c r="B29" s="4" t="s">
        <v>121</v>
      </c>
      <c r="C29" s="4" t="s">
        <v>122</v>
      </c>
      <c r="D29" s="3" t="s">
        <v>130</v>
      </c>
      <c r="E29" s="3" t="s">
        <v>131</v>
      </c>
      <c r="F29" s="3" t="s">
        <v>125</v>
      </c>
      <c r="G29" s="4" t="s">
        <v>126</v>
      </c>
      <c r="H29" s="4" t="s">
        <v>132</v>
      </c>
      <c r="I29" s="3"/>
      <c r="J29" s="5"/>
      <c r="K29" s="5"/>
      <c r="L29" s="5"/>
      <c r="M29" s="5"/>
    </row>
    <row r="30" customFormat="false" ht="15" hidden="false" customHeight="false" outlineLevel="0" collapsed="false">
      <c r="A30" s="3" t="n">
        <v>29</v>
      </c>
      <c r="B30" s="4" t="s">
        <v>121</v>
      </c>
      <c r="C30" s="4" t="s">
        <v>122</v>
      </c>
      <c r="D30" s="3" t="s">
        <v>133</v>
      </c>
      <c r="E30" s="3" t="s">
        <v>134</v>
      </c>
      <c r="F30" s="3" t="s">
        <v>125</v>
      </c>
      <c r="G30" s="4" t="s">
        <v>126</v>
      </c>
      <c r="H30" s="4" t="s">
        <v>132</v>
      </c>
      <c r="I30" s="3"/>
      <c r="J30" s="5"/>
      <c r="K30" s="5"/>
      <c r="L30" s="5"/>
      <c r="M30" s="5"/>
    </row>
    <row r="31" customFormat="false" ht="15" hidden="false" customHeight="false" outlineLevel="0" collapsed="false">
      <c r="A31" s="3" t="n">
        <v>30</v>
      </c>
      <c r="B31" s="4" t="s">
        <v>121</v>
      </c>
      <c r="C31" s="4" t="s">
        <v>122</v>
      </c>
      <c r="D31" s="3" t="s">
        <v>135</v>
      </c>
      <c r="E31" s="3" t="s">
        <v>136</v>
      </c>
      <c r="F31" s="3" t="s">
        <v>137</v>
      </c>
      <c r="G31" s="4" t="s">
        <v>126</v>
      </c>
      <c r="H31" s="4" t="s">
        <v>24</v>
      </c>
      <c r="I31" s="3"/>
      <c r="J31" s="5"/>
      <c r="K31" s="5"/>
      <c r="L31" s="5"/>
      <c r="M31" s="5"/>
    </row>
    <row r="32" customFormat="false" ht="15" hidden="false" customHeight="false" outlineLevel="0" collapsed="false">
      <c r="A32" s="3" t="n">
        <v>31</v>
      </c>
      <c r="B32" s="4" t="s">
        <v>121</v>
      </c>
      <c r="C32" s="4" t="s">
        <v>122</v>
      </c>
      <c r="D32" s="3" t="s">
        <v>138</v>
      </c>
      <c r="E32" s="3" t="s">
        <v>139</v>
      </c>
      <c r="F32" s="3" t="s">
        <v>140</v>
      </c>
      <c r="G32" s="4" t="s">
        <v>126</v>
      </c>
      <c r="H32" s="4" t="s">
        <v>24</v>
      </c>
      <c r="I32" s="3"/>
      <c r="J32" s="5"/>
      <c r="K32" s="5"/>
      <c r="L32" s="5"/>
      <c r="M32" s="5"/>
    </row>
    <row r="33" customFormat="false" ht="15" hidden="false" customHeight="false" outlineLevel="0" collapsed="false">
      <c r="A33" s="3" t="n">
        <v>32</v>
      </c>
      <c r="B33" s="4" t="s">
        <v>121</v>
      </c>
      <c r="C33" s="4" t="s">
        <v>122</v>
      </c>
      <c r="D33" s="3" t="s">
        <v>141</v>
      </c>
      <c r="E33" s="3" t="s">
        <v>142</v>
      </c>
      <c r="F33" s="3" t="s">
        <v>140</v>
      </c>
      <c r="G33" s="4" t="s">
        <v>126</v>
      </c>
      <c r="H33" s="4" t="s">
        <v>24</v>
      </c>
      <c r="I33" s="3"/>
      <c r="J33" s="5"/>
      <c r="K33" s="5"/>
      <c r="L33" s="5"/>
      <c r="M33" s="5"/>
    </row>
    <row r="34" customFormat="false" ht="23.85" hidden="false" customHeight="false" outlineLevel="0" collapsed="false">
      <c r="A34" s="3" t="n">
        <v>33</v>
      </c>
      <c r="B34" s="4" t="s">
        <v>143</v>
      </c>
      <c r="C34" s="4" t="s">
        <v>122</v>
      </c>
      <c r="D34" s="3" t="s">
        <v>144</v>
      </c>
      <c r="E34" s="3" t="s">
        <v>145</v>
      </c>
      <c r="F34" s="3" t="s">
        <v>146</v>
      </c>
      <c r="G34" s="4" t="s">
        <v>147</v>
      </c>
      <c r="H34" s="4" t="s">
        <v>24</v>
      </c>
      <c r="I34" s="4" t="s">
        <v>20</v>
      </c>
      <c r="J34" s="5"/>
      <c r="K34" s="5"/>
      <c r="L34" s="5"/>
      <c r="M34" s="5"/>
    </row>
    <row r="35" customFormat="false" ht="23.85" hidden="false" customHeight="false" outlineLevel="0" collapsed="false">
      <c r="A35" s="3" t="n">
        <v>34</v>
      </c>
      <c r="B35" s="4" t="s">
        <v>143</v>
      </c>
      <c r="C35" s="4" t="s">
        <v>122</v>
      </c>
      <c r="D35" s="3" t="s">
        <v>148</v>
      </c>
      <c r="E35" s="3" t="s">
        <v>149</v>
      </c>
      <c r="F35" s="3" t="s">
        <v>150</v>
      </c>
      <c r="G35" s="4" t="s">
        <v>151</v>
      </c>
      <c r="H35" s="4" t="s">
        <v>24</v>
      </c>
      <c r="I35" s="3"/>
      <c r="J35" s="5"/>
      <c r="K35" s="5"/>
      <c r="L35" s="5"/>
      <c r="M35" s="5"/>
    </row>
    <row r="36" customFormat="false" ht="15" hidden="false" customHeight="false" outlineLevel="0" collapsed="false">
      <c r="A36" s="3" t="n">
        <v>35</v>
      </c>
      <c r="B36" s="4" t="s">
        <v>143</v>
      </c>
      <c r="C36" s="4" t="s">
        <v>122</v>
      </c>
      <c r="D36" s="3" t="s">
        <v>152</v>
      </c>
      <c r="E36" s="3" t="s">
        <v>153</v>
      </c>
      <c r="F36" s="3" t="s">
        <v>154</v>
      </c>
      <c r="G36" s="4" t="s">
        <v>155</v>
      </c>
      <c r="H36" s="4" t="s">
        <v>24</v>
      </c>
      <c r="I36" s="3"/>
      <c r="J36" s="5"/>
      <c r="K36" s="5"/>
      <c r="L36" s="5"/>
      <c r="M36" s="5"/>
    </row>
    <row r="37" customFormat="false" ht="15" hidden="false" customHeight="false" outlineLevel="0" collapsed="false">
      <c r="A37" s="3" t="n">
        <v>36</v>
      </c>
      <c r="B37" s="4" t="s">
        <v>143</v>
      </c>
      <c r="C37" s="4" t="s">
        <v>122</v>
      </c>
      <c r="D37" s="3" t="s">
        <v>156</v>
      </c>
      <c r="E37" s="3" t="s">
        <v>157</v>
      </c>
      <c r="F37" s="3" t="s">
        <v>158</v>
      </c>
      <c r="G37" s="4" t="s">
        <v>159</v>
      </c>
      <c r="H37" s="4" t="s">
        <v>24</v>
      </c>
      <c r="I37" s="3"/>
      <c r="J37" s="5"/>
      <c r="K37" s="5"/>
      <c r="L37" s="5"/>
      <c r="M37" s="5"/>
    </row>
    <row r="38" customFormat="false" ht="15" hidden="false" customHeight="false" outlineLevel="0" collapsed="false">
      <c r="A38" s="3" t="n">
        <v>37</v>
      </c>
      <c r="B38" s="4" t="s">
        <v>143</v>
      </c>
      <c r="C38" s="4" t="s">
        <v>122</v>
      </c>
      <c r="D38" s="3" t="s">
        <v>160</v>
      </c>
      <c r="E38" s="3" t="s">
        <v>161</v>
      </c>
      <c r="F38" s="3" t="s">
        <v>162</v>
      </c>
      <c r="G38" s="4" t="s">
        <v>163</v>
      </c>
      <c r="H38" s="4" t="s">
        <v>24</v>
      </c>
      <c r="I38" s="3"/>
      <c r="J38" s="5"/>
      <c r="K38" s="5"/>
      <c r="L38" s="5"/>
      <c r="M38" s="5"/>
    </row>
    <row r="39" customFormat="false" ht="15" hidden="false" customHeight="false" outlineLevel="0" collapsed="false">
      <c r="A39" s="3" t="n">
        <v>38</v>
      </c>
      <c r="B39" s="4" t="s">
        <v>164</v>
      </c>
      <c r="C39" s="4" t="s">
        <v>122</v>
      </c>
      <c r="D39" s="3" t="s">
        <v>165</v>
      </c>
      <c r="E39" s="3" t="s">
        <v>166</v>
      </c>
      <c r="F39" s="3" t="s">
        <v>167</v>
      </c>
      <c r="G39" s="4" t="s">
        <v>168</v>
      </c>
      <c r="H39" s="4" t="s">
        <v>77</v>
      </c>
      <c r="I39" s="4" t="s">
        <v>20</v>
      </c>
      <c r="J39" s="5"/>
      <c r="K39" s="5"/>
      <c r="L39" s="5"/>
      <c r="M39" s="5"/>
    </row>
    <row r="40" customFormat="false" ht="23.85" hidden="false" customHeight="false" outlineLevel="0" collapsed="false">
      <c r="A40" s="3" t="n">
        <v>39</v>
      </c>
      <c r="B40" s="4" t="s">
        <v>164</v>
      </c>
      <c r="C40" s="4" t="s">
        <v>122</v>
      </c>
      <c r="D40" s="3" t="s">
        <v>169</v>
      </c>
      <c r="E40" s="3" t="s">
        <v>170</v>
      </c>
      <c r="F40" s="3" t="s">
        <v>171</v>
      </c>
      <c r="G40" s="4" t="s">
        <v>168</v>
      </c>
      <c r="H40" s="4" t="s">
        <v>24</v>
      </c>
      <c r="I40" s="3"/>
      <c r="J40" s="5"/>
      <c r="K40" s="5"/>
      <c r="L40" s="5"/>
      <c r="M40" s="5"/>
    </row>
    <row r="41" customFormat="false" ht="15" hidden="false" customHeight="false" outlineLevel="0" collapsed="false">
      <c r="A41" s="3" t="n">
        <v>40</v>
      </c>
      <c r="B41" s="4" t="s">
        <v>164</v>
      </c>
      <c r="C41" s="4" t="s">
        <v>122</v>
      </c>
      <c r="D41" s="3" t="s">
        <v>172</v>
      </c>
      <c r="E41" s="3" t="s">
        <v>173</v>
      </c>
      <c r="F41" s="3" t="s">
        <v>174</v>
      </c>
      <c r="G41" s="4" t="s">
        <v>175</v>
      </c>
      <c r="H41" s="4" t="s">
        <v>24</v>
      </c>
      <c r="I41" s="3"/>
      <c r="J41" s="5"/>
      <c r="K41" s="5"/>
      <c r="L41" s="5"/>
      <c r="M41" s="5"/>
    </row>
    <row r="42" customFormat="false" ht="23.85" hidden="false" customHeight="false" outlineLevel="0" collapsed="false">
      <c r="A42" s="3" t="n">
        <v>41</v>
      </c>
      <c r="B42" s="4" t="s">
        <v>164</v>
      </c>
      <c r="C42" s="4" t="s">
        <v>122</v>
      </c>
      <c r="D42" s="3" t="s">
        <v>176</v>
      </c>
      <c r="E42" s="3" t="s">
        <v>177</v>
      </c>
      <c r="F42" s="3" t="s">
        <v>178</v>
      </c>
      <c r="G42" s="4" t="s">
        <v>179</v>
      </c>
      <c r="H42" s="4" t="s">
        <v>24</v>
      </c>
      <c r="I42" s="3"/>
      <c r="J42" s="5"/>
      <c r="K42" s="5"/>
      <c r="L42" s="5"/>
      <c r="M42" s="5"/>
    </row>
    <row r="43" customFormat="false" ht="15" hidden="false" customHeight="false" outlineLevel="0" collapsed="false">
      <c r="A43" s="3" t="n">
        <v>42</v>
      </c>
      <c r="B43" s="4" t="s">
        <v>164</v>
      </c>
      <c r="C43" s="4" t="s">
        <v>122</v>
      </c>
      <c r="D43" s="3" t="s">
        <v>180</v>
      </c>
      <c r="E43" s="3" t="s">
        <v>181</v>
      </c>
      <c r="F43" s="3" t="s">
        <v>182</v>
      </c>
      <c r="G43" s="4" t="s">
        <v>183</v>
      </c>
      <c r="H43" s="4" t="s">
        <v>24</v>
      </c>
      <c r="I43" s="3"/>
      <c r="J43" s="5"/>
      <c r="K43" s="5"/>
      <c r="L43" s="5"/>
      <c r="M43" s="5"/>
    </row>
    <row r="44" customFormat="false" ht="23.85" hidden="false" customHeight="false" outlineLevel="0" collapsed="false">
      <c r="A44" s="3" t="n">
        <v>43</v>
      </c>
      <c r="B44" s="4" t="s">
        <v>164</v>
      </c>
      <c r="C44" s="4" t="s">
        <v>122</v>
      </c>
      <c r="D44" s="3" t="s">
        <v>184</v>
      </c>
      <c r="E44" s="3" t="s">
        <v>185</v>
      </c>
      <c r="F44" s="3" t="s">
        <v>186</v>
      </c>
      <c r="G44" s="4" t="s">
        <v>183</v>
      </c>
      <c r="H44" s="4" t="s">
        <v>24</v>
      </c>
      <c r="I44" s="3"/>
      <c r="J44" s="5"/>
      <c r="K44" s="5"/>
      <c r="L44" s="5"/>
      <c r="M44" s="5"/>
    </row>
    <row r="45" customFormat="false" ht="23.85" hidden="false" customHeight="false" outlineLevel="0" collapsed="false">
      <c r="A45" s="3" t="n">
        <v>44</v>
      </c>
      <c r="B45" s="4" t="s">
        <v>164</v>
      </c>
      <c r="C45" s="4" t="s">
        <v>122</v>
      </c>
      <c r="D45" s="3" t="s">
        <v>187</v>
      </c>
      <c r="E45" s="3" t="s">
        <v>188</v>
      </c>
      <c r="F45" s="3" t="s">
        <v>189</v>
      </c>
      <c r="G45" s="3" t="s">
        <v>190</v>
      </c>
      <c r="H45" s="4" t="s">
        <v>77</v>
      </c>
      <c r="I45" s="4" t="s">
        <v>20</v>
      </c>
      <c r="J45" s="5"/>
      <c r="K45" s="5"/>
      <c r="L45" s="5"/>
      <c r="M45" s="5"/>
    </row>
    <row r="46" customFormat="false" ht="23.85" hidden="false" customHeight="false" outlineLevel="0" collapsed="false">
      <c r="A46" s="3" t="n">
        <v>45</v>
      </c>
      <c r="B46" s="4" t="s">
        <v>164</v>
      </c>
      <c r="C46" s="4" t="s">
        <v>122</v>
      </c>
      <c r="D46" s="3" t="s">
        <v>191</v>
      </c>
      <c r="E46" s="3" t="s">
        <v>192</v>
      </c>
      <c r="F46" s="3" t="s">
        <v>193</v>
      </c>
      <c r="G46" s="3" t="s">
        <v>194</v>
      </c>
      <c r="H46" s="4" t="s">
        <v>24</v>
      </c>
      <c r="I46" s="3"/>
      <c r="J46" s="5"/>
      <c r="K46" s="5"/>
      <c r="L46" s="5"/>
      <c r="M46" s="5"/>
    </row>
    <row r="47" customFormat="false" ht="23.85" hidden="false" customHeight="false" outlineLevel="0" collapsed="false">
      <c r="A47" s="3" t="n">
        <v>46</v>
      </c>
      <c r="B47" s="4" t="s">
        <v>164</v>
      </c>
      <c r="C47" s="4" t="s">
        <v>122</v>
      </c>
      <c r="D47" s="3" t="s">
        <v>195</v>
      </c>
      <c r="E47" s="3" t="s">
        <v>196</v>
      </c>
      <c r="F47" s="3" t="s">
        <v>197</v>
      </c>
      <c r="G47" s="4" t="s">
        <v>198</v>
      </c>
      <c r="H47" s="4" t="s">
        <v>24</v>
      </c>
      <c r="I47" s="3"/>
      <c r="J47" s="5"/>
      <c r="K47" s="5"/>
      <c r="L47" s="5"/>
      <c r="M47" s="5"/>
    </row>
    <row r="48" customFormat="false" ht="15" hidden="false" customHeight="false" outlineLevel="0" collapsed="false">
      <c r="A48" s="3" t="n">
        <v>47</v>
      </c>
      <c r="B48" s="4" t="s">
        <v>164</v>
      </c>
      <c r="C48" s="4" t="s">
        <v>122</v>
      </c>
      <c r="D48" s="3" t="s">
        <v>199</v>
      </c>
      <c r="E48" s="3" t="s">
        <v>200</v>
      </c>
      <c r="F48" s="3" t="s">
        <v>201</v>
      </c>
      <c r="G48" s="4" t="s">
        <v>202</v>
      </c>
      <c r="H48" s="4" t="s">
        <v>77</v>
      </c>
      <c r="I48" s="3"/>
      <c r="J48" s="5"/>
      <c r="K48" s="5"/>
      <c r="L48" s="5"/>
      <c r="M48" s="5"/>
    </row>
    <row r="49" customFormat="false" ht="15" hidden="false" customHeight="false" outlineLevel="0" collapsed="false">
      <c r="A49" s="3" t="n">
        <v>48</v>
      </c>
      <c r="B49" s="4" t="s">
        <v>164</v>
      </c>
      <c r="C49" s="4" t="s">
        <v>122</v>
      </c>
      <c r="D49" s="3" t="s">
        <v>203</v>
      </c>
      <c r="E49" s="3" t="s">
        <v>204</v>
      </c>
      <c r="F49" s="3" t="s">
        <v>205</v>
      </c>
      <c r="G49" s="4" t="s">
        <v>206</v>
      </c>
      <c r="H49" s="4" t="s">
        <v>24</v>
      </c>
      <c r="I49" s="3"/>
      <c r="J49" s="5"/>
      <c r="K49" s="5"/>
      <c r="L49" s="5"/>
      <c r="M49" s="5"/>
    </row>
    <row r="50" customFormat="false" ht="23.85" hidden="false" customHeight="false" outlineLevel="0" collapsed="false">
      <c r="A50" s="3" t="n">
        <v>49</v>
      </c>
      <c r="B50" s="4" t="s">
        <v>164</v>
      </c>
      <c r="C50" s="4" t="s">
        <v>122</v>
      </c>
      <c r="D50" s="3" t="s">
        <v>207</v>
      </c>
      <c r="E50" s="3" t="s">
        <v>208</v>
      </c>
      <c r="F50" s="3" t="s">
        <v>209</v>
      </c>
      <c r="G50" s="4" t="s">
        <v>210</v>
      </c>
      <c r="H50" s="4" t="s">
        <v>24</v>
      </c>
      <c r="I50" s="3"/>
      <c r="J50" s="5"/>
      <c r="K50" s="5"/>
      <c r="L50" s="5"/>
      <c r="M50" s="5"/>
    </row>
    <row r="51" customFormat="false" ht="15" hidden="false" customHeight="false" outlineLevel="0" collapsed="false">
      <c r="A51" s="3" t="n">
        <v>50</v>
      </c>
      <c r="B51" s="4" t="s">
        <v>211</v>
      </c>
      <c r="C51" s="4" t="s">
        <v>212</v>
      </c>
      <c r="D51" s="3" t="s">
        <v>213</v>
      </c>
      <c r="E51" s="3" t="s">
        <v>214</v>
      </c>
      <c r="F51" s="3" t="s">
        <v>215</v>
      </c>
      <c r="G51" s="4" t="s">
        <v>216</v>
      </c>
      <c r="H51" s="4" t="s">
        <v>24</v>
      </c>
      <c r="I51" s="4" t="s">
        <v>20</v>
      </c>
      <c r="J51" s="5"/>
      <c r="K51" s="5"/>
      <c r="L51" s="5"/>
      <c r="M51" s="5"/>
    </row>
    <row r="52" customFormat="false" ht="15" hidden="false" customHeight="false" outlineLevel="0" collapsed="false">
      <c r="A52" s="3" t="n">
        <v>51</v>
      </c>
      <c r="B52" s="4" t="s">
        <v>211</v>
      </c>
      <c r="C52" s="4" t="s">
        <v>212</v>
      </c>
      <c r="D52" s="3" t="s">
        <v>217</v>
      </c>
      <c r="E52" s="3" t="s">
        <v>218</v>
      </c>
      <c r="F52" s="3" t="s">
        <v>219</v>
      </c>
      <c r="G52" s="4" t="s">
        <v>220</v>
      </c>
      <c r="H52" s="4" t="s">
        <v>24</v>
      </c>
      <c r="I52" s="3"/>
      <c r="J52" s="5"/>
      <c r="K52" s="5"/>
      <c r="L52" s="5"/>
      <c r="M52" s="5"/>
    </row>
    <row r="53" customFormat="false" ht="15" hidden="false" customHeight="false" outlineLevel="0" collapsed="false">
      <c r="A53" s="3" t="n">
        <v>52</v>
      </c>
      <c r="B53" s="4" t="s">
        <v>211</v>
      </c>
      <c r="C53" s="4" t="s">
        <v>212</v>
      </c>
      <c r="D53" s="3" t="s">
        <v>221</v>
      </c>
      <c r="E53" s="3" t="s">
        <v>222</v>
      </c>
      <c r="F53" s="3" t="s">
        <v>223</v>
      </c>
      <c r="G53" s="4" t="s">
        <v>224</v>
      </c>
      <c r="H53" s="4" t="s">
        <v>24</v>
      </c>
      <c r="I53" s="3"/>
      <c r="J53" s="5"/>
      <c r="K53" s="5"/>
      <c r="L53" s="5"/>
      <c r="M53" s="5"/>
    </row>
    <row r="54" customFormat="false" ht="15" hidden="false" customHeight="false" outlineLevel="0" collapsed="false">
      <c r="A54" s="3" t="n">
        <v>53</v>
      </c>
      <c r="B54" s="4" t="s">
        <v>211</v>
      </c>
      <c r="C54" s="4" t="s">
        <v>212</v>
      </c>
      <c r="D54" s="3" t="s">
        <v>225</v>
      </c>
      <c r="E54" s="3" t="s">
        <v>226</v>
      </c>
      <c r="F54" s="3" t="s">
        <v>227</v>
      </c>
      <c r="G54" s="4" t="s">
        <v>228</v>
      </c>
      <c r="H54" s="4" t="s">
        <v>229</v>
      </c>
      <c r="I54" s="3"/>
      <c r="J54" s="5"/>
      <c r="K54" s="5"/>
      <c r="L54" s="5"/>
      <c r="M54" s="5"/>
    </row>
    <row r="55" customFormat="false" ht="29.85" hidden="false" customHeight="false" outlineLevel="0" collapsed="false">
      <c r="A55" s="3" t="n">
        <v>54</v>
      </c>
      <c r="B55" s="4" t="s">
        <v>211</v>
      </c>
      <c r="C55" s="4" t="s">
        <v>212</v>
      </c>
      <c r="D55" s="3" t="s">
        <v>230</v>
      </c>
      <c r="E55" s="3" t="s">
        <v>231</v>
      </c>
      <c r="F55" s="3" t="s">
        <v>232</v>
      </c>
      <c r="G55" s="3" t="s">
        <v>233</v>
      </c>
      <c r="H55" s="4" t="s">
        <v>24</v>
      </c>
      <c r="I55" s="4" t="s">
        <v>20</v>
      </c>
      <c r="J55" s="5"/>
      <c r="K55" s="5"/>
      <c r="L55" s="5"/>
      <c r="M55" s="5"/>
    </row>
    <row r="56" customFormat="false" ht="15" hidden="false" customHeight="false" outlineLevel="0" collapsed="false">
      <c r="A56" s="3" t="n">
        <v>55</v>
      </c>
      <c r="B56" s="4" t="s">
        <v>211</v>
      </c>
      <c r="C56" s="4" t="s">
        <v>212</v>
      </c>
      <c r="D56" s="3" t="s">
        <v>234</v>
      </c>
      <c r="E56" s="3" t="s">
        <v>235</v>
      </c>
      <c r="F56" s="3" t="s">
        <v>236</v>
      </c>
      <c r="G56" s="4" t="s">
        <v>237</v>
      </c>
      <c r="H56" s="4" t="s">
        <v>24</v>
      </c>
      <c r="I56" s="3"/>
      <c r="J56" s="5"/>
      <c r="K56" s="5"/>
      <c r="L56" s="5"/>
      <c r="M56" s="5"/>
    </row>
    <row r="57" customFormat="false" ht="15" hidden="false" customHeight="false" outlineLevel="0" collapsed="false">
      <c r="A57" s="3" t="n">
        <v>56</v>
      </c>
      <c r="B57" s="4" t="s">
        <v>211</v>
      </c>
      <c r="C57" s="4" t="s">
        <v>212</v>
      </c>
      <c r="D57" s="3" t="s">
        <v>238</v>
      </c>
      <c r="E57" s="3" t="s">
        <v>239</v>
      </c>
      <c r="F57" s="3" t="s">
        <v>240</v>
      </c>
      <c r="G57" s="4" t="s">
        <v>241</v>
      </c>
      <c r="H57" s="4" t="s">
        <v>24</v>
      </c>
      <c r="I57" s="3"/>
      <c r="J57" s="5"/>
      <c r="K57" s="5"/>
      <c r="L57" s="5"/>
      <c r="M57" s="5"/>
    </row>
    <row r="59" customFormat="false" ht="15" hidden="false" customHeight="false" outlineLevel="0" collapsed="false">
      <c r="A59" s="6" t="s">
        <v>242</v>
      </c>
    </row>
    <row r="60" customFormat="false" ht="31.5" hidden="false" customHeight="true" outlineLevel="0" collapsed="false">
      <c r="A60" s="7" t="s">
        <v>243</v>
      </c>
      <c r="B60" s="7"/>
      <c r="C60" s="7"/>
      <c r="D60" s="7"/>
      <c r="E60" s="7"/>
      <c r="F60" s="7"/>
      <c r="G60" s="7"/>
      <c r="H60" s="7"/>
      <c r="I60" s="7"/>
    </row>
    <row r="61" customFormat="false" ht="31.5" hidden="false" customHeight="true" outlineLevel="0" collapsed="false">
      <c r="A61" s="7" t="s">
        <v>244</v>
      </c>
      <c r="B61" s="7"/>
      <c r="C61" s="7"/>
      <c r="D61" s="7"/>
      <c r="E61" s="7"/>
      <c r="F61" s="7"/>
      <c r="G61" s="7"/>
      <c r="H61" s="7"/>
      <c r="I61" s="7"/>
    </row>
    <row r="62" customFormat="false" ht="31.5" hidden="false" customHeight="true" outlineLevel="0" collapsed="false">
      <c r="A62" s="7" t="s">
        <v>245</v>
      </c>
      <c r="B62" s="7"/>
      <c r="C62" s="7"/>
      <c r="D62" s="7"/>
      <c r="E62" s="7"/>
      <c r="F62" s="7"/>
      <c r="G62" s="7"/>
      <c r="H62" s="7"/>
      <c r="I62" s="7"/>
    </row>
  </sheetData>
  <mergeCells count="3">
    <mergeCell ref="A60:I60"/>
    <mergeCell ref="A61:I61"/>
    <mergeCell ref="A62:I62"/>
  </mergeCells>
  <dataValidations count="2">
    <dataValidation allowBlank="true" errorStyle="stop" operator="between" showDropDown="false" showErrorMessage="false" showInputMessage="false" sqref="K2:K57" type="list">
      <formula1>"봐도 됨,주의,차단,승인 필요,숨김,통과"</formula1>
      <formula2>0</formula2>
    </dataValidation>
    <dataValidation allowBlank="true" errorStyle="stop" operator="between" showDropDown="false" showErrorMessage="false" showInputMessage="false" sqref="L2:L57" type="list">
      <formula1>"있음,없음,해당 없음"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17.15" hidden="false" customHeight="false" outlineLevel="0" collapsed="false">
      <c r="A1" s="2" t="s">
        <v>1</v>
      </c>
      <c r="B1" s="2" t="s">
        <v>246</v>
      </c>
      <c r="C1" s="2" t="s">
        <v>8</v>
      </c>
      <c r="D1" s="2" t="s">
        <v>247</v>
      </c>
    </row>
    <row r="2" customFormat="false" ht="15" hidden="false" customHeight="false" outlineLevel="0" collapsed="false">
      <c r="A2" s="8" t="s">
        <v>13</v>
      </c>
      <c r="B2" s="8" t="n">
        <f aca="false">COUNTIF('테스트 세트'!$B$2:$B$57,A2)</f>
        <v>10</v>
      </c>
      <c r="C2" s="8" t="n">
        <f aca="false">COUNTIFS('테스트 세트'!$B$2:$B$57,A2,'테스트 세트'!$I$2:$I$57,"정답지")</f>
        <v>2</v>
      </c>
      <c r="D2" s="8" t="n">
        <f aca="false">COUNTIFS('테스트 세트'!$B$2:$B$57,A2,'테스트 세트'!$K$2:$K$57,"&lt;&gt;")</f>
        <v>0</v>
      </c>
    </row>
    <row r="3" customFormat="false" ht="15" hidden="false" customHeight="false" outlineLevel="0" collapsed="false">
      <c r="A3" s="8" t="s">
        <v>59</v>
      </c>
      <c r="B3" s="8" t="n">
        <f aca="false">COUNTIF('테스트 세트'!$B$2:$B$57,A3)</f>
        <v>3</v>
      </c>
      <c r="C3" s="8" t="n">
        <f aca="false">COUNTIFS('테스트 세트'!$B$2:$B$57,A3,'테스트 세트'!$I$2:$I$57,"정답지")</f>
        <v>1</v>
      </c>
      <c r="D3" s="8" t="n">
        <f aca="false">COUNTIFS('테스트 세트'!$B$2:$B$57,A3,'테스트 세트'!$K$2:$K$57,"&lt;&gt;")</f>
        <v>0</v>
      </c>
    </row>
    <row r="4" customFormat="false" ht="15" hidden="false" customHeight="false" outlineLevel="0" collapsed="false">
      <c r="A4" s="8" t="s">
        <v>72</v>
      </c>
      <c r="B4" s="8" t="n">
        <f aca="false">COUNTIF('테스트 세트'!$B$2:$B$57,A4)</f>
        <v>12</v>
      </c>
      <c r="C4" s="8" t="n">
        <f aca="false">COUNTIFS('테스트 세트'!$B$2:$B$57,A4,'테스트 세트'!$I$2:$I$57,"정답지")</f>
        <v>2</v>
      </c>
      <c r="D4" s="8" t="n">
        <f aca="false">COUNTIFS('테스트 세트'!$B$2:$B$57,A4,'테스트 세트'!$K$2:$K$57,"&lt;&gt;")</f>
        <v>0</v>
      </c>
    </row>
    <row r="5" customFormat="false" ht="15" hidden="false" customHeight="false" outlineLevel="0" collapsed="false">
      <c r="A5" s="8" t="s">
        <v>121</v>
      </c>
      <c r="B5" s="8" t="n">
        <f aca="false">COUNTIF('테스트 세트'!$B$2:$B$57,A5)</f>
        <v>7</v>
      </c>
      <c r="C5" s="8" t="n">
        <f aca="false">COUNTIFS('테스트 세트'!$B$2:$B$57,A5,'테스트 세트'!$I$2:$I$57,"정답지")</f>
        <v>1</v>
      </c>
      <c r="D5" s="8" t="n">
        <f aca="false">COUNTIFS('테스트 세트'!$B$2:$B$57,A5,'테스트 세트'!$K$2:$K$57,"&lt;&gt;")</f>
        <v>0</v>
      </c>
    </row>
    <row r="6" customFormat="false" ht="15" hidden="false" customHeight="false" outlineLevel="0" collapsed="false">
      <c r="A6" s="8" t="s">
        <v>143</v>
      </c>
      <c r="B6" s="8" t="n">
        <f aca="false">COUNTIF('테스트 세트'!$B$2:$B$57,A6)</f>
        <v>5</v>
      </c>
      <c r="C6" s="8" t="n">
        <f aca="false">COUNTIFS('테스트 세트'!$B$2:$B$57,A6,'테스트 세트'!$I$2:$I$57,"정답지")</f>
        <v>1</v>
      </c>
      <c r="D6" s="8" t="n">
        <f aca="false">COUNTIFS('테스트 세트'!$B$2:$B$57,A6,'테스트 세트'!$K$2:$K$57,"&lt;&gt;")</f>
        <v>0</v>
      </c>
    </row>
    <row r="7" customFormat="false" ht="15" hidden="false" customHeight="false" outlineLevel="0" collapsed="false">
      <c r="A7" s="8" t="s">
        <v>164</v>
      </c>
      <c r="B7" s="8" t="n">
        <f aca="false">COUNTIF('테스트 세트'!$B$2:$B$57,A7)</f>
        <v>12</v>
      </c>
      <c r="C7" s="8" t="n">
        <f aca="false">COUNTIFS('테스트 세트'!$B$2:$B$57,A7,'테스트 세트'!$I$2:$I$57,"정답지")</f>
        <v>2</v>
      </c>
      <c r="D7" s="8" t="n">
        <f aca="false">COUNTIFS('테스트 세트'!$B$2:$B$57,A7,'테스트 세트'!$K$2:$K$57,"&lt;&gt;")</f>
        <v>0</v>
      </c>
    </row>
    <row r="8" customFormat="false" ht="15" hidden="false" customHeight="false" outlineLevel="0" collapsed="false">
      <c r="A8" s="8" t="s">
        <v>211</v>
      </c>
      <c r="B8" s="8" t="n">
        <f aca="false">COUNTIF('테스트 세트'!$B$2:$B$57,A8)</f>
        <v>7</v>
      </c>
      <c r="C8" s="8" t="n">
        <f aca="false">COUNTIFS('테스트 세트'!$B$2:$B$57,A8,'테스트 세트'!$I$2:$I$57,"정답지")</f>
        <v>2</v>
      </c>
      <c r="D8" s="8" t="n">
        <f aca="false">COUNTIFS('테스트 세트'!$B$2:$B$57,A8,'테스트 세트'!$K$2:$K$57,"&lt;&gt;")</f>
        <v>0</v>
      </c>
    </row>
    <row r="9" customFormat="false" ht="15" hidden="false" customHeight="false" outlineLevel="0" collapsed="false">
      <c r="A9" s="9" t="s">
        <v>248</v>
      </c>
      <c r="B9" s="8" t="n">
        <f aca="false">SUM(B2:B8)</f>
        <v>56</v>
      </c>
      <c r="C9" s="8" t="n">
        <f aca="false">SUM(C2:C8)</f>
        <v>11</v>
      </c>
      <c r="D9" s="8" t="n">
        <f aca="false">SUM(D2:D8)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2026-10-21T04:47:27Z</dcterms:created>
  <dc:creator>openpyxl</dc:creator>
  <dc:description/>
  <dc:language>en-US</dc:language>
  <cp:lastModifiedBy/>
  <dcterms:modified xsi:type="dcterms:W3CDTF">2026-10-21T04:47:27Z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